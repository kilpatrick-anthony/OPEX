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b" sheetId="1" r:id="rId5"/>
    <sheet state="visible" name="Mar" sheetId="2" r:id="rId6"/>
    <sheet state="visible" name="Apr" sheetId="3" r:id="rId7"/>
    <sheet state="visible" name="May" sheetId="4" r:id="rId8"/>
    <sheet state="visible" name="Jun" sheetId="5" r:id="rId9"/>
    <sheet state="visible" name="Jul" sheetId="6" r:id="rId10"/>
    <sheet state="visible" name="Aug" sheetId="7" r:id="rId11"/>
    <sheet state="visible" name="Sep" sheetId="8" r:id="rId12"/>
    <sheet state="visible" name="Oct" sheetId="9" r:id="rId13"/>
    <sheet state="visible" name="Nov" sheetId="10" r:id="rId14"/>
    <sheet state="visible" name="Dec" sheetId="11" r:id="rId15"/>
  </sheets>
  <definedNames/>
  <calcPr/>
</workbook>
</file>

<file path=xl/sharedStrings.xml><?xml version="1.0" encoding="utf-8"?>
<sst xmlns="http://schemas.openxmlformats.org/spreadsheetml/2006/main" count="369" uniqueCount="103">
  <si>
    <t>Location</t>
  </si>
  <si>
    <t>Responsable</t>
  </si>
  <si>
    <t>Date</t>
  </si>
  <si>
    <t>Score</t>
  </si>
  <si>
    <t>Overview</t>
  </si>
  <si>
    <t>Follow Up</t>
  </si>
  <si>
    <t>Arnotts</t>
  </si>
  <si>
    <t>Layla</t>
  </si>
  <si>
    <t>Key areas to focus on include cleaning equipment and workspaces immediately after use and ensuring all products are properly labelled. No points lost in the Systems and Customer Service sections, which reflects strong processes and excellent team performance.</t>
  </si>
  <si>
    <t>The team was reminded of the importance of checking product quality and expiry dates on a daily basis. Guidance was also provided on how to incorporate this into their daily routine to ensure it becomes a consistent practice and to prevent recurrence of the issue.</t>
  </si>
  <si>
    <t>ILAC</t>
  </si>
  <si>
    <t>Improve upselling practices and ensure the loyalty program is
consistently offered to customers. Important to maintain all emergency exits fully
clear and unobstructed at all times to ensure safety compliance. Attention is also required in the timely and accurate changing of labels, ensuring all product
information remains correct and up to date.</t>
  </si>
  <si>
    <t>The Ilac team is frequently helping other stores, which can result in a loss of communication around completed tasks and pending actions when they return. Guidance on improving communication has been provided, and Juliana is working on implementing information boards, as well as sharing more detailed updates within the group to ensure better alignment.</t>
  </si>
  <si>
    <t>Dundalk</t>
  </si>
  <si>
    <t>Greater attention is required in the completion of logbooks and records. Attention to detail must also be improved, storage and particularly in relation to product labelling ensuring labels are updated with correct dates. Important to maintain the preparation area clean and organised at all times.</t>
  </si>
  <si>
    <t>The store demonstrated excellent cleanliness. However, further training is required to ensure the team fully understands the importance of HSE standards. A meeting is being scheduled with the entire team in person to communicate and reinforce these requirements.</t>
  </si>
  <si>
    <t>MasterCard</t>
  </si>
  <si>
    <t>The score was impacted as many points fall under Capex. The store requires better organisation and closer attention to labelling and expiry dates. Product display is not being done correctly, and fruits are not being properly washed. Additionally, the açaí machine is cracked.</t>
  </si>
  <si>
    <t>A visit was conducted to demonstrate to the team the correct machine maintenance procedures and proper handling of product expiry dates. A separate email regarding the damaged machine will be sent.</t>
  </si>
  <si>
    <t>Blanchardstown</t>
  </si>
  <si>
    <t>Operationally, the store is running well, with processes generally under control and no major issues observed. There are opportunities for improvement, particularly in relation to organisation and product labelling. Greater attention should be given to ensuring all products are properly labelled, as well as improving the structure and consistency of stock and storage areas.</t>
  </si>
  <si>
    <t>As the main challenge identified was limited space and organisation, I supported the team in optimising the kiosk storage cabinets to reduce the number of utensils visible to customers. Additionally, an unused ice machine was removed to free up more space and improve overall organisation.</t>
  </si>
  <si>
    <t>Anne Street</t>
  </si>
  <si>
    <t>The score was significantly impacted by issues in the HSE section, which carries the highest weighting and requires meticulous attention to detail. The main areas where improvements are needed include logbook completion and accuracy, proper labelling and BBF management for products, organisation of stock and storage, and general hygiene practices such as hand-wash availability and safe storage of cleaning supplies.</t>
  </si>
  <si>
    <t>I discussed the findings with Felipe and worked with him to identify the best approach to organising the stock and maintaining proper procedures, taking into account the high footfall and limited hours. The team is committed to improving, and the store was observed to be very clean.</t>
  </si>
  <si>
    <t>Dun Laoghaire</t>
  </si>
  <si>
    <t>The final result was primarily impacted by deductions within the HSE section, which carries significant weighting. The main areas requiring attention include organisation, label control, and logbook compliance, all of which are critical to maintaining operational standards and ensuring full compliance.</t>
  </si>
  <si>
    <t>With Alan on annual leave, I spent a full day in the store on 18/02, where I reviewed the areas of opportunity with Rodrigo and guided him on how to improve the points that were lost.</t>
  </si>
  <si>
    <t>Maynooth</t>
  </si>
  <si>
    <t xml:space="preserve">There were issues related to labelling, expiry date control, and overall organisation of stock and storage areas, highlighting the need for greater consistency and attention to detail.
</t>
  </si>
  <si>
    <t>Niamh raised questions regarding colour coding, uniforms, and labelling/dates. During my second visit, while training Valentina on store closing procedures, I also demonstrated how to correctly maintain these standards and ensure the related processes are consistently followed.</t>
  </si>
  <si>
    <t>Nutgrove</t>
  </si>
  <si>
    <t>The result reflects several areas requiring improvement, particularly in organisation, completion of logbooks, and attention to detail with product labelling and date control.</t>
  </si>
  <si>
    <t>With Renan on annual leave, the points were reviewed and shared with Laura in the meantime. A follow-up visit is being planned with Renan to go through the same feedback directly with him and ensure alignment.</t>
  </si>
  <si>
    <t>Blackrock</t>
  </si>
  <si>
    <t>Overall, the store showed good improvement compared to the previous visits, which is very positive. General cleanliness and organisation were noticeably better. However, the final score was significantly impacted by points missed in the HSE section. Some of the main areas identified include label control, attention to cleaning standards in certain areas and correct storage practices.</t>
  </si>
  <si>
    <t>The store also received an HSE visit during the same month. I used this opportunity to review both my report and the HSE feedback in detail with Mariana and the team, addressing any questions and clarifying expectations to support improvement in the highlighted areas.</t>
  </si>
  <si>
    <t>Hansfield</t>
  </si>
  <si>
    <t>Considering that the store had low customer traffic over the past month, some of these points should not have been missed. It’s important that the team uses quieter periods more effectively to ensure all procedures, checks, and records are completed rather than leaving tasks pending.</t>
  </si>
  <si>
    <t>I conducted an in-person session with Ilana and Mariana, where I went through the correct standards and demonstrated how to properly complete the procedures and logbooks.</t>
  </si>
  <si>
    <t>Swords - Main Street</t>
  </si>
  <si>
    <t>The score was mainly impacted by a few HSE-related points, which carry higher weighting in the evaluation and therefore require extra attention from the team. Most identified issues relate to attention to detail and consistency in following procedures.</t>
  </si>
  <si>
    <t>Call scheduled with Rachel to review details and discuss improvement actions.</t>
  </si>
  <si>
    <t>Cork</t>
  </si>
  <si>
    <t>Several critical issues identified that require immediate improvement. Key areas of concern included cleaning standards, organization, product expiration dates, boxes stored on the floor, waste management, incomplete logbooks, and missing temperature records. These points indicate the need for stronger daily controls and better adherence to operational and food safety procedures.</t>
  </si>
  <si>
    <t>Weekly meetings to monitor progress. Ongoing training with the team, including three in-person sessions with Rebecca and team. Weekly follow-ups to ensure actions are being implemented and standards are maintained.</t>
  </si>
  <si>
    <t>Swords - Pavilions</t>
  </si>
  <si>
    <t>Dublin Zoo</t>
  </si>
  <si>
    <t>Kildare Village</t>
  </si>
  <si>
    <t>Average</t>
  </si>
  <si>
    <t>The score was affected by minor attention-to-detail issues, including one unlabelled item, gaps in batch tracking on two days, and the need for fridge maintenance after açaí defrosting. Improvements are also needed in cleaning low-traffic areas, such as around skirting boards, where dust can accumulate. In addition, there is an opportunity to improve consistency in promoting the loyalty program and upselling.</t>
  </si>
  <si>
    <t>Actions have already been implemented to ensure all items are correctly labelled, batch tracking is consistently completed, and fridge maintenance is carried out promptly after açaí defrosting.</t>
  </si>
  <si>
    <t>Some points need attention to ensure consistency and compliance. Smoothie scoops should be cleaned daily, and all pending orders must be closed before till closure. The blue roll container may need repositioning to improve access in the sink area. Staff meals must be stored separately in a clearly labelled bucket, and the emergency exit corridor must remain clear and organised. In product preparation, açaí labels must always include the BFF. Cleaning supplies for machines should be kept in good condition, including areas behind the sink and shelves.</t>
  </si>
  <si>
    <t>A team meeting will be held to go through all of these points again and ensure full alignment and consistency across the store. We will continue to monitor closely to maintain standards and compliance.</t>
  </si>
  <si>
    <t>With lower customer traffic, focus should remain on providing attentive service and clear communication to customers. Attention to detail is essential to avoid any appearance of disorganization in the small store, ensuring everything stays clean and well organized. The SuperValu area requires daily cleaning due to dust buildup, and product labeling must be checked each morning to ensure accuracy and compliance.</t>
  </si>
  <si>
    <t>Reinforced with the team the importance of maintaining efficient customer service during lower traffic periods, while continuing to focus on attention to detail, cleanliness, and consistent product labelling to ensure overall standards and compliance are upheld.</t>
  </si>
  <si>
    <t>Key areas needing attention include consistent product labeling, full completion of logbooks with emphasis on traceability, and accurate weekly stock counts. It is also important that all waste is properly recorded to ensure data accuracy and operational control.</t>
  </si>
  <si>
    <t>Actions have been implemented to ensure consistent product labelling, full completion of logbooks with a strong focus on traceability, and accurate weekly stock counts.</t>
  </si>
  <si>
    <t>A few HSE-related issues were identified, which have a higher impact on the evaluation and require greater team attention. Most of the points raised are related to attention to detail and consistent adherence to procedures.</t>
  </si>
  <si>
    <t xml:space="preserve">Store closed </t>
  </si>
  <si>
    <t>Improvements are needed in maintaining cleanliness and organization at the front of the store, as well as keeping communication boards updated for clarity. Operational processes, including logbook records such as cash counting, cleaning routines, and traceability, should also be strengthened. In addition, more attention is required for correct product labeling and accurate dating of defrosted açaí to ensure food safety, compliance, and consistency.</t>
  </si>
  <si>
    <t>Implemented actions to improve front-of-store cleanliness and organisation, ensure communication boards are kept up to date, strengthen logbook accuracy, and reinforce correct product labelling and accurate dating of defrosted açaí to maintain food safety, compliance, and consistency.</t>
  </si>
  <si>
    <t>Key improvements include maintaining well-presented merchandising and an organized stock area. The main priority should be stronger team communication and better mutual support to ensure tasks are completed during the shift and not carried over. Improving collaboration will help reduce workload, prevent team overload, and ensure smoother operations. In addition, proper product labeling must be consistently maintained to avoid any expired items remaining in store.</t>
  </si>
  <si>
    <t>The Store Lead will be holding one-to-one meetings with each team member, followed by a full team meeting, to reinforce stronger communication, improve collaboration, and ensure better task completion within each shift to avoid carryover and reduce workload pressure.</t>
  </si>
  <si>
    <t xml:space="preserve"> Layla</t>
  </si>
  <si>
    <t>Key operational issues include maintaining clean and well-kept service utensils, consistently offering loyalty at the till, and ensuring correct product preparation. While traceability is generally in place, batch numbers are sometimes missing and must be recorded daily for full compliance. Improvements are also needed in stock organization and proper storage of boxed items. Daily cleaning standards must be consistently followed, including correct use of the colour-coded cloth system to avoid cross-contamination.</t>
  </si>
  <si>
    <t>Actions have been implemented to improve utensil hygiene, ensure consistent loyalty offering, reinforce correct product preparation, and strengthen daily batch recording for full traceability. Stock organisation and proper storage have been addressed, and daily cleaning standards, including correct use of the colour-coded cloth system, have been reinforced to ensure compliance and prevent cross-contamination.</t>
  </si>
  <si>
    <t>Key issues were identified in storage standards, including poor organization, missing designated areas, inconsistent labeling, and improper storage of cleaning products near food. Boxes were also found stored on the floor, which must be avoided. Improvements are needed in key operational areas such as product labeling, batch traceability, expiry date checks, and logbook completion. Hygiene standards also require attention, especially regarding equipment cleanliness and maintenance in preparation areas.</t>
  </si>
  <si>
    <t>A meeting with Valentina will be held on Thursday, 16/04. We will implement actions to improve storage organisation, ensure correct segregation of cleaning products, and prevent boxes being stored on the floor. I will also reinforce product labelling, batch traceability, expiry checks, and logbook completion, along with a stronger focus on equipment cleanliness and hygiene standards in preparation areas.</t>
  </si>
  <si>
    <t xml:space="preserve">Improvement include maintaining the front of the store clean and organized at all times, including sinks and utensils, as well as ensuring proper system execution, with focus on stock counting, waste tracking, and accurate logbook completion in line with HSE requirements. In storage areas, all items must be kept off the floor and properly separated from chemicals to ensure safety and compliance.
</t>
  </si>
  <si>
    <t>Following Alan’s return from holidays, these points will be reviewed with him and actions will be implemented to ensure the front of the store remains clean and organised, system execution is reinforced (including stock counting, waste tracking, and logbook completion in line with HSE requirements), and storage standards are maintained with all items kept off the floor and properly separated from chemicals for safety and compliance.</t>
  </si>
  <si>
    <t>Team communication needs to be improved to ensure issues are reported and resolved promptly. TV menu consistently out of date. The logbook requires close attention to ensure all temperature records are kept up to date in line with HSE requirements and proper traceability. Cleanliness and organisation remain key areas that need continued focus to maintain hygiene standards and a safe working environment.</t>
  </si>
  <si>
    <t>I will be in Blackrock on 14/04 to support the team with the HSE and Oaker points. A conversation has already been held with Mariana, and actions will be implemented to improve team communication, ensure the TV menu is updated, maintain accurate logbook temperature records in line with HSE requirements, and reinforce cleanliness and organisation to uphold hygiene and safety standards.</t>
  </si>
  <si>
    <t>Key areas that need improvement include product labeling, avoiding the use of expired items, maintaining accurate record keeping (logbook), improving team communication, and ensuring proper cleanliness and condition of the upper floor and restroom. An operational issue was also identified regarding removing products from the system while ingredients are still available, as well as ensuring correct uniform usage.</t>
  </si>
  <si>
    <t>Following up on the points raised, I will oriented more actions to improve product labelling, prevent use of expired items, ensure accurate logbook records, strengthen team communication, maintain cleanliness, and reinforce again correct system and uniform standards. The weekly Monday meeting will continue, and I will visit the store on 17–19/04 to reinforce these points as they remain below standard.</t>
  </si>
  <si>
    <t>The store performed at a very high level overall, showing strong consistency in customer service, operations, and system use, with clear progress made on all previously raised points. A few minor HSE improvements are still needed, particularly around consistent temperature monitoring, maintaining regular microwave cleaning, and ensuring the sink cloth is replaced frequently to uphold hygiene standards.</t>
  </si>
  <si>
    <t>Ensure daily temperature checks are consistently completed, reinforce regular microwave cleaning, and maintain scheduled replacement of the sink cloth to uphold HSE hygiene standards.</t>
  </si>
  <si>
    <t>The store is delivering a strong overall performance, with solid operational and HSE standards in place, and only a few minor points to refine for full consistency. These include maintaining cleanliness and order in the merchandising area, ensuring proper condition of safety equipment and bins, keeping the comms board updated, following the approved playlist, recording waste correctly in Nory, logging temperatures accurately, and keeping the stockroom tidy and well organised.</t>
  </si>
  <si>
    <t>I met with the team and reinforced the importance of maintaining a strong visual standard in the store, as well as ensuring proper control and accuracy of information on the comms board and in Nory.</t>
  </si>
  <si>
    <t>The store has improved since the last visit, especially in cleaning and daily operations, but still needs to ensure consistent stock counts, updated HSE traceability, accurate açai defrosting records, and stronger storage and cleaning discipline across all areas.</t>
  </si>
  <si>
    <t>I have highlighted all improvement areas to the team and provided clear guidance on the required standards, including weekly stock counts, HSE traceability updates, correct açai defrosting records, and proper storage and cleaning practices. These expectations have been reinforced with the team to ensure understanding and consistent compliance going forward.</t>
  </si>
  <si>
    <t>The store is performing well overall, with strong service and execution and improved labelling supporting better traceability, while a few areas still need attention, including cleanliness, stock accuracy and availability, updated labels, and more consistent system use for waste and temperature controls.</t>
  </si>
  <si>
    <t>I pass to the team to focus on maintaining cleanliness standards, improving stock accuracy and availability, ensuring all labels are up to date, and reinforcing consistent use of systems for waste recording and temperature controls. Support and training about nory was provided.</t>
  </si>
  <si>
    <t>The visit showed improvement in stockroom organisation, but key areas still require attention, including hygiene consistency, cleaning routines, stock control and waste recording, full adherence to closing procedures, correct product labelling, consistent use of the playlist, and addressing HSE concerns related to kitchen flooring.</t>
  </si>
  <si>
    <t>I reinforced hygiene routines, stock and waste accuracy (providing support to simplify the waste process), full closing compliance and correct labelling.</t>
  </si>
  <si>
    <t>The store has shown strong overall improvement in cleaning, logbook compliance, customer service, and operational performance; however, key issues remain around stock control, storage standards, and completion of HSE traceability records, which need to be addressed to ensure full compliance.</t>
  </si>
  <si>
    <t>Followed up with the team by clearly communicating the identified improvement areas and reinforcing the required standards, including proper stock control procedures, correct storage practices, and the importance of completing HSE traceability records consistently to ensure full compliance and continued operational improvement.</t>
  </si>
  <si>
    <t>20-23/04/2026</t>
  </si>
  <si>
    <t>Overall performance is acceptable, with good customer service, but key areas need improvement, including consistency in system updates, stock and waste recording, labelling and temperature control, traceability, and overall cleaning and operational routines.</t>
  </si>
  <si>
    <t>I spoke with the team and reinforced better time and task management during busy periods, alongside improving system consistency, stock and waste recording, labelling, temperature control, traceability, and overall cleaning standards.</t>
  </si>
  <si>
    <t>Customer service was strong, but several operational and compliance gaps need improvement, including store cleanliness and organisation, proper merchandising standards, correct preparation and cleaning routines, updated boards and logbooks, full adherence to closing procedures, and corrections to issues found with product handling, labelling, storage, and expired items.</t>
  </si>
  <si>
    <t>I visited the store, retrained Valentina on correct bowl preparation procedures, and provided full guidance on how to better structure and organise both the store and the team to make daily operations clearer, more efficient, and easier to manage.</t>
  </si>
  <si>
    <t>Key improvements are needed across hygiene, stock control, and system compliance, including better cleaning routines, proper use of cloths, consistent waste recording, improved organisation and storage standards, accurate labelling and traceability, and stronger adherence to allergy and loyalty procedures.</t>
  </si>
  <si>
    <t>I visited the store and spoke directly with Leah during Amy’s onboarding day, focusing on improving stock and truck organisation due to the limited space, reinforcing the need for a clearer and more structured layout, and supporting better communication within the team regarding orders and daily tasks to improve overall coordination and efficiency. It was also requested to Douglas to include the allergy question in their system to ensure proper compliance and consistency in customer safety procedures.</t>
  </si>
  <si>
    <t>Layla/Ilana</t>
  </si>
  <si>
    <t>Overall, key improvements are required across hygiene, stock handling, system compliance, and team communication, as standards are currently inconsistent, with issues in cleanliness, incorrect storage and labelling, incomplete records, and gaps in following procedures across shifts.</t>
  </si>
  <si>
    <t>A visit was carried out and it was noted that the team has shown significant improvement compared to the previous visit. Remaining gaps were addressed directly on site, with guidance and demonstrations provided to ensure correct procedures are understood and applied, and all key points were also reinforced via email for clarity and consistency moving forward.</t>
  </si>
  <si>
    <t>The visit identified some positive points, including correct uniform use, good engagement with cleaning, and improved cleanliness and organisation in the upstairs area. However, there has been a decline in key operational and compliance standards, with inconsistencies in logbook completion, daily routines (such as cash counts and temperature checks), waste logging, and weekly stock counts. In addition, issues were found with labelling control, including expired labels, and the cleaning standards of the acai machine and surrounding area require significant improvement to ensure full compliance.</t>
  </si>
  <si>
    <t>Followed up with the team by clearly addressing the recent gaps identified, reinforcing the importance of consistent logbook completion, daily operational routines, proper waste logging and weekly stock counts, as well as strict labelling control. In addition, I highlighted the required cleaning standards for the acai machine and surrounding area to ensure full compliance and to restore consistency in operational execution.</t>
  </si>
  <si>
    <t>During the visit, product quality was acceptable, but important HSE and food safety issues were identified, including missing labels on products, lack of fruit washing before use, and visible damage to the açaí machine that needs review.</t>
  </si>
  <si>
    <t>the identified HSE and food safety points have been addressed, with an email sent to Caner highlighting the required actions, including improving product labelling, ensuring fruits are properly washed before use, and reviewing the condition and damage observed on the açaí machine.</t>
  </si>
  <si>
    <t xml:space="preserve">Closed </t>
  </si>
  <si>
    <t>Closed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</si>
</sst>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9">
    <font>
      <sz val="10.0"/>
      <color rgb="FF000000"/>
      <name val="Arial"/>
      <scheme val="minor"/>
    </font>
    <font>
      <b/>
      <color theme="1"/>
      <name val="Arial"/>
      <scheme val="minor"/>
    </font>
    <font>
      <color theme="1"/>
      <name val="Arial"/>
      <scheme val="minor"/>
    </font>
    <font>
      <sz val="9.0"/>
      <color theme="1"/>
      <name val="Arial"/>
      <scheme val="minor"/>
    </font>
    <font>
      <color rgb="FF000000"/>
      <name val="-apple-system"/>
    </font>
    <font>
      <b/>
      <color rgb="FF434343"/>
      <name val="Roboto"/>
    </font>
    <font>
      <color rgb="FF434343"/>
      <name val="Roboto"/>
    </font>
    <font>
      <b/>
      <color rgb="FFFFFFFF"/>
      <name val="Roboto"/>
    </font>
    <font>
      <color theme="1"/>
      <name val="Arial"/>
    </font>
  </fonts>
  <fills count="6">
    <fill>
      <patternFill patternType="none"/>
    </fill>
    <fill>
      <patternFill patternType="lightGray"/>
    </fill>
    <fill>
      <patternFill patternType="solid">
        <fgColor rgb="FFFFFFFF"/>
        <bgColor rgb="FFFFFFFF"/>
      </patternFill>
    </fill>
    <fill>
      <patternFill patternType="solid">
        <fgColor rgb="FFB6D7A8"/>
        <bgColor rgb="FFB6D7A8"/>
      </patternFill>
    </fill>
    <fill>
      <patternFill patternType="solid">
        <fgColor rgb="FF5B3F86"/>
        <bgColor rgb="FF5B3F86"/>
      </patternFill>
    </fill>
    <fill>
      <patternFill patternType="solid">
        <fgColor rgb="FFF6F8F9"/>
        <bgColor rgb="FFF6F8F9"/>
      </patternFill>
    </fill>
  </fills>
  <borders count="14">
    <border/>
    <border>
      <left style="thin">
        <color rgb="FFFFFFFF"/>
      </left>
      <right style="thin">
        <color rgb="FFFFFFFF"/>
      </right>
      <top style="thin">
        <color rgb="FFFFFFFF"/>
      </top>
      <bottom style="thin">
        <color rgb="FF000000"/>
      </bottom>
    </border>
    <border>
      <left style="thin">
        <color rgb="FFB6D7A8"/>
      </left>
      <right style="thin">
        <color rgb="FFB6D7A8"/>
      </right>
      <top style="thin">
        <color rgb="FFB6D7A8"/>
      </top>
      <bottom style="thin">
        <color rgb="FF000000"/>
      </bottom>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442F65"/>
      </right>
      <top style="thin">
        <color rgb="FFF6F8F9"/>
      </top>
      <bottom style="thin">
        <color rgb="FFF6F8F9"/>
      </bottom>
    </border>
    <border>
      <left style="thin">
        <color rgb="FFFFFFFF"/>
      </left>
      <right style="thin">
        <color rgb="FFFFFFFF"/>
      </right>
      <top style="thin">
        <color rgb="FFFFFFFF"/>
      </top>
      <bottom style="thin">
        <color rgb="FF442F65"/>
      </bottom>
    </border>
    <border>
      <left style="thin">
        <color rgb="FFB6D7A8"/>
      </left>
      <right style="thin">
        <color rgb="FFB6D7A8"/>
      </right>
      <top style="thin">
        <color rgb="FFB6D7A8"/>
      </top>
      <bottom style="thin">
        <color rgb="FF442F65"/>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1" numFmtId="164" xfId="0" applyAlignment="1" applyFont="1" applyNumberFormat="1">
      <alignment horizontal="center" readingOrder="0" shrinkToFit="0" vertical="center" wrapText="0"/>
    </xf>
    <xf borderId="0" fillId="0" fontId="1" numFmtId="9" xfId="0" applyAlignment="1" applyFont="1" applyNumberFormat="1">
      <alignment horizontal="center" readingOrder="0" shrinkToFit="0" vertical="center" wrapText="0"/>
    </xf>
    <xf borderId="0" fillId="0" fontId="1" numFmtId="0" xfId="0" applyAlignment="1" applyFont="1">
      <alignment horizontal="center" readingOrder="0" shrinkToFit="0" vertical="center" wrapText="1"/>
    </xf>
    <xf borderId="0" fillId="0" fontId="2" numFmtId="0" xfId="0" applyAlignment="1" applyFont="1">
      <alignment horizontal="center" readingOrder="0" shrinkToFit="0" vertical="center" wrapText="0"/>
    </xf>
    <xf borderId="0" fillId="0" fontId="2" numFmtId="164" xfId="0" applyAlignment="1" applyFont="1" applyNumberFormat="1">
      <alignment horizontal="center" readingOrder="0" shrinkToFit="0" vertical="center" wrapText="0"/>
    </xf>
    <xf borderId="0" fillId="0" fontId="2" numFmtId="9" xfId="0" applyAlignment="1" applyFont="1" applyNumberFormat="1">
      <alignment horizontal="center" readingOrder="0" shrinkToFit="0" vertical="center" wrapText="0"/>
    </xf>
    <xf borderId="0" fillId="0" fontId="3"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3" numFmtId="0" xfId="0" applyAlignment="1" applyFont="1">
      <alignment horizontal="center" readingOrder="0" shrinkToFit="0" vertical="top" wrapText="1"/>
    </xf>
    <xf borderId="0" fillId="0" fontId="3" numFmtId="0" xfId="0" applyAlignment="1" applyFont="1">
      <alignment horizontal="center" readingOrder="0" shrinkToFit="0" vertical="center" wrapText="0"/>
    </xf>
    <xf borderId="0" fillId="0" fontId="2" numFmtId="164" xfId="0" applyAlignment="1" applyFont="1" applyNumberFormat="1">
      <alignment horizontal="center" shrinkToFit="0" vertical="center" wrapText="0"/>
    </xf>
    <xf borderId="0" fillId="0" fontId="2" numFmtId="0" xfId="0" applyAlignment="1" applyFont="1">
      <alignment horizontal="center" shrinkToFit="0" vertical="center" wrapText="1"/>
    </xf>
    <xf borderId="0" fillId="0" fontId="3" numFmtId="0" xfId="0" applyAlignment="1" applyFont="1">
      <alignment horizontal="center" shrinkToFit="0" vertical="center" wrapText="1"/>
    </xf>
    <xf borderId="0" fillId="0" fontId="2" numFmtId="9" xfId="0" applyAlignment="1" applyFont="1" applyNumberFormat="1">
      <alignment horizontal="center" shrinkToFit="0" vertical="center" wrapText="0"/>
    </xf>
    <xf borderId="0" fillId="0" fontId="2" numFmtId="0" xfId="0" applyAlignment="1" applyFont="1">
      <alignment horizontal="center" shrinkToFit="0" vertical="center" wrapText="0"/>
    </xf>
    <xf borderId="0" fillId="0" fontId="1" numFmtId="0" xfId="0" applyAlignment="1" applyFont="1">
      <alignment horizontal="center" readingOrder="0" shrinkToFit="0" vertical="center" wrapText="0"/>
    </xf>
    <xf borderId="0" fillId="0" fontId="2" numFmtId="0" xfId="0" applyAlignment="1" applyFont="1">
      <alignment horizontal="center" shrinkToFit="0" vertical="center" wrapText="0"/>
    </xf>
    <xf borderId="0" fillId="0" fontId="2" numFmtId="9" xfId="0" applyAlignment="1" applyFont="1" applyNumberFormat="1">
      <alignment horizontal="center" shrinkToFit="0" vertical="center" wrapText="0"/>
    </xf>
    <xf borderId="0" fillId="0" fontId="2"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1" fillId="2" fontId="5" numFmtId="0" xfId="0" applyAlignment="1" applyBorder="1" applyFill="1" applyFont="1">
      <alignment horizontal="center" shrinkToFit="0" vertical="center" wrapText="0"/>
    </xf>
    <xf borderId="2" fillId="3" fontId="6" numFmtId="9" xfId="0" applyAlignment="1" applyBorder="1" applyFill="1" applyFont="1" applyNumberFormat="1">
      <alignment horizontal="center" shrinkToFit="0" vertical="center" wrapText="0"/>
    </xf>
    <xf borderId="3" fillId="4" fontId="7" numFmtId="0" xfId="0" applyAlignment="1" applyBorder="1" applyFill="1" applyFont="1">
      <alignment horizontal="center" readingOrder="0" shrinkToFit="0" vertical="center" wrapText="0"/>
    </xf>
    <xf borderId="4" fillId="4" fontId="7" numFmtId="0" xfId="0" applyAlignment="1" applyBorder="1" applyFont="1">
      <alignment horizontal="center" readingOrder="0" shrinkToFit="0" vertical="center" wrapText="0"/>
    </xf>
    <xf borderId="4" fillId="4" fontId="7" numFmtId="164" xfId="0" applyAlignment="1" applyBorder="1" applyFont="1" applyNumberFormat="1">
      <alignment horizontal="center" readingOrder="0" shrinkToFit="0" vertical="center" wrapText="0"/>
    </xf>
    <xf borderId="4" fillId="4" fontId="7" numFmtId="9" xfId="0" applyAlignment="1" applyBorder="1" applyFont="1" applyNumberFormat="1">
      <alignment horizontal="center" readingOrder="0" shrinkToFit="0" vertical="center" wrapText="0"/>
    </xf>
    <xf borderId="4" fillId="4" fontId="7" numFmtId="0" xfId="0" applyAlignment="1" applyBorder="1" applyFont="1">
      <alignment horizontal="center" readingOrder="0" shrinkToFit="0" vertical="center" wrapText="1"/>
    </xf>
    <xf borderId="5" fillId="4" fontId="7" numFmtId="0" xfId="0" applyAlignment="1" applyBorder="1" applyFont="1">
      <alignment horizontal="center" readingOrder="0" shrinkToFit="0" vertical="center" wrapText="1"/>
    </xf>
    <xf borderId="6" fillId="2" fontId="5" numFmtId="0" xfId="0" applyAlignment="1" applyBorder="1" applyFont="1">
      <alignment horizontal="center" shrinkToFit="0" vertical="center" wrapText="0"/>
    </xf>
    <xf borderId="7" fillId="2" fontId="8" numFmtId="0" xfId="0" applyAlignment="1" applyBorder="1" applyFont="1">
      <alignment shrinkToFit="0" vertical="center" wrapText="0"/>
    </xf>
    <xf borderId="7" fillId="2" fontId="8" numFmtId="164" xfId="0" applyAlignment="1" applyBorder="1" applyFont="1" applyNumberFormat="1">
      <alignment shrinkToFit="0" vertical="center" wrapText="0"/>
    </xf>
    <xf borderId="7" fillId="2" fontId="8" numFmtId="9" xfId="0" applyAlignment="1" applyBorder="1" applyFont="1" applyNumberFormat="1">
      <alignment shrinkToFit="0" vertical="center" wrapText="0"/>
    </xf>
    <xf borderId="8" fillId="2" fontId="8" numFmtId="0" xfId="0" applyAlignment="1" applyBorder="1" applyFont="1">
      <alignment shrinkToFit="0" vertical="center" wrapText="0"/>
    </xf>
    <xf borderId="9" fillId="5" fontId="5" numFmtId="0" xfId="0" applyAlignment="1" applyBorder="1" applyFill="1" applyFont="1">
      <alignment horizontal="center" shrinkToFit="0" vertical="center" wrapText="0"/>
    </xf>
    <xf borderId="10" fillId="5" fontId="8" numFmtId="0" xfId="0" applyAlignment="1" applyBorder="1" applyFont="1">
      <alignment shrinkToFit="0" vertical="center" wrapText="0"/>
    </xf>
    <xf borderId="10" fillId="5" fontId="8" numFmtId="164" xfId="0" applyAlignment="1" applyBorder="1" applyFont="1" applyNumberFormat="1">
      <alignment shrinkToFit="0" vertical="center" wrapText="0"/>
    </xf>
    <xf borderId="10" fillId="5" fontId="8" numFmtId="9" xfId="0" applyAlignment="1" applyBorder="1" applyFont="1" applyNumberFormat="1">
      <alignment shrinkToFit="0" vertical="center" wrapText="0"/>
    </xf>
    <xf borderId="10" fillId="5" fontId="8" numFmtId="0" xfId="0" applyAlignment="1" applyBorder="1" applyFont="1">
      <alignment shrinkToFit="0" vertical="center" wrapText="0"/>
    </xf>
    <xf borderId="11" fillId="5" fontId="8" numFmtId="0" xfId="0" applyAlignment="1" applyBorder="1" applyFont="1">
      <alignment shrinkToFit="0" vertical="center" wrapText="0"/>
    </xf>
    <xf borderId="7" fillId="2" fontId="8" numFmtId="0" xfId="0" applyAlignment="1" applyBorder="1" applyFont="1">
      <alignment shrinkToFit="0" vertical="center" wrapText="0"/>
    </xf>
    <xf borderId="0" fillId="2" fontId="8" numFmtId="0" xfId="0" applyAlignment="1" applyFont="1">
      <alignment shrinkToFit="0" vertical="center" wrapText="0"/>
    </xf>
    <xf borderId="12" fillId="2" fontId="5" numFmtId="164" xfId="0" applyAlignment="1" applyBorder="1" applyFont="1" applyNumberFormat="1">
      <alignment horizontal="center" shrinkToFit="0" vertical="center" wrapText="0"/>
    </xf>
    <xf borderId="13" fillId="3" fontId="6" numFmtId="9" xfId="0" applyAlignment="1" applyBorder="1" applyFont="1" applyNumberFormat="1">
      <alignment horizontal="center" shrinkToFit="0" vertical="center" wrapText="0"/>
    </xf>
  </cellXfs>
  <cellStyles count="1">
    <cellStyle xfId="0" name="Normal" builtinId="0"/>
  </cellStyles>
  <dxfs count="6">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D6CFE1"/>
          <bgColor rgb="FFD6CFE1"/>
        </patternFill>
      </fill>
      <border/>
    </dxf>
    <dxf>
      <border>
        <left style="thin">
          <color rgb="FF5B3F86"/>
        </left>
        <right style="thin">
          <color rgb="FF5B3F86"/>
        </right>
        <top style="thin">
          <color rgb="FF5B3F86"/>
        </top>
        <bottom style="thin">
          <color rgb="FF5B3F86"/>
        </bottom>
      </border>
    </dxf>
  </dxfs>
  <tableStyles count="11">
    <tableStyle count="5" pivot="0" name="Feb-style">
      <tableStyleElement dxfId="1" type="headerRow"/>
      <tableStyleElement dxfId="2" type="firstRowStripe"/>
      <tableStyleElement dxfId="3" type="secondRowStripe"/>
      <tableStyleElement dxfId="4" type="totalRow"/>
      <tableStyleElement dxfId="5" size="0" type="wholeTable"/>
    </tableStyle>
    <tableStyle count="5" pivot="0" name="Mar-style">
      <tableStyleElement dxfId="1" type="headerRow"/>
      <tableStyleElement dxfId="2" type="firstRowStripe"/>
      <tableStyleElement dxfId="3" type="secondRowStripe"/>
      <tableStyleElement dxfId="4" type="totalRow"/>
      <tableStyleElement dxfId="5" size="0" type="wholeTable"/>
    </tableStyle>
    <tableStyle count="5" pivot="0" name="Apr-style">
      <tableStyleElement dxfId="1" type="headerRow"/>
      <tableStyleElement dxfId="2" type="firstRowStripe"/>
      <tableStyleElement dxfId="3" type="secondRowStripe"/>
      <tableStyleElement dxfId="4" type="totalRow"/>
      <tableStyleElement dxfId="5" size="0" type="wholeTable"/>
    </tableStyle>
    <tableStyle count="5" pivot="0" name="May-style">
      <tableStyleElement dxfId="1" type="headerRow"/>
      <tableStyleElement dxfId="2" type="firstRowStripe"/>
      <tableStyleElement dxfId="3" type="secondRowStripe"/>
      <tableStyleElement dxfId="4" type="totalRow"/>
      <tableStyleElement dxfId="5" size="0" type="wholeTable"/>
    </tableStyle>
    <tableStyle count="5" pivot="0" name="Jun-style">
      <tableStyleElement dxfId="1" type="headerRow"/>
      <tableStyleElement dxfId="2" type="firstRowStripe"/>
      <tableStyleElement dxfId="3" type="secondRowStripe"/>
      <tableStyleElement dxfId="4" type="totalRow"/>
      <tableStyleElement dxfId="5" size="0" type="wholeTable"/>
    </tableStyle>
    <tableStyle count="5" pivot="0" name="Jul-style">
      <tableStyleElement dxfId="1" type="headerRow"/>
      <tableStyleElement dxfId="2" type="firstRowStripe"/>
      <tableStyleElement dxfId="3" type="secondRowStripe"/>
      <tableStyleElement dxfId="4" type="totalRow"/>
      <tableStyleElement dxfId="5" size="0" type="wholeTable"/>
    </tableStyle>
    <tableStyle count="5" pivot="0" name="Aug-style">
      <tableStyleElement dxfId="1" type="headerRow"/>
      <tableStyleElement dxfId="2" type="firstRowStripe"/>
      <tableStyleElement dxfId="3" type="secondRowStripe"/>
      <tableStyleElement dxfId="4" type="totalRow"/>
      <tableStyleElement dxfId="5" size="0" type="wholeTable"/>
    </tableStyle>
    <tableStyle count="5" pivot="0" name="Sep-style">
      <tableStyleElement dxfId="1" type="headerRow"/>
      <tableStyleElement dxfId="2" type="firstRowStripe"/>
      <tableStyleElement dxfId="3" type="secondRowStripe"/>
      <tableStyleElement dxfId="4" type="totalRow"/>
      <tableStyleElement dxfId="5" size="0" type="wholeTable"/>
    </tableStyle>
    <tableStyle count="5" pivot="0" name="Oct-style">
      <tableStyleElement dxfId="1" type="headerRow"/>
      <tableStyleElement dxfId="2" type="firstRowStripe"/>
      <tableStyleElement dxfId="3" type="secondRowStripe"/>
      <tableStyleElement dxfId="4" type="totalRow"/>
      <tableStyleElement dxfId="5" size="0" type="wholeTable"/>
    </tableStyle>
    <tableStyle count="5" pivot="0" name="Nov-style">
      <tableStyleElement dxfId="1" type="headerRow"/>
      <tableStyleElement dxfId="2" type="firstRowStripe"/>
      <tableStyleElement dxfId="3" type="secondRowStripe"/>
      <tableStyleElement dxfId="4" type="totalRow"/>
      <tableStyleElement dxfId="5" size="0" type="wholeTable"/>
    </tableStyle>
    <tableStyle count="5" pivot="0" name="Dec-style">
      <tableStyleElement dxfId="1" type="headerRow"/>
      <tableStyleElement dxfId="2" type="firstRowStripe"/>
      <tableStyleElement dxfId="3" type="secondRowStripe"/>
      <tableStyleElement dxfId="4" type="totalRow"/>
      <tableStyleElement dxfId="5"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totalsRowCount="1" ref="A1:F18" displayName="OAKER_Experience_Overview" name="OAKER_Experience_Overview" id="1">
  <tableColumns count="6">
    <tableColumn name="Location" id="1"/>
    <tableColumn name="Responsable" id="2"/>
    <tableColumn totalsRowLabel="Average" name="Date" id="3"/>
    <tableColumn totalsRowFunction="custom" name="Score" id="4"/>
    <tableColumn name="Overview" id="5"/>
    <tableColumn name="Follow Up" id="6"/>
  </tableColumns>
  <tableStyleInfo name="Feb-style" showColumnStripes="0" showFirstColumn="1" showLastColumn="1" showRowStripes="1"/>
</table>
</file>

<file path=xl/tables/table2.xml><?xml version="1.0" encoding="utf-8"?>
<table xmlns="http://schemas.openxmlformats.org/spreadsheetml/2006/main" totalsRowCount="1" ref="A1:F18" displayName="OAKER_Experience_Overview_2" name="OAKER_Experience_Overview_2" id="2">
  <tableColumns count="6">
    <tableColumn name="Location" id="1"/>
    <tableColumn name="Responsable" id="2"/>
    <tableColumn totalsRowLabel="Average" name="Date" id="3"/>
    <tableColumn totalsRowFunction="custom" name="Score" id="4"/>
    <tableColumn name="Overview" id="5"/>
    <tableColumn name="Follow Up" id="6"/>
  </tableColumns>
  <tableStyleInfo name="Mar-style" showColumnStripes="0" showFirstColumn="1" showLastColumn="1" showRowStripes="1"/>
</table>
</file>

<file path=xl/tables/table3.xml><?xml version="1.0" encoding="utf-8"?>
<table xmlns="http://schemas.openxmlformats.org/spreadsheetml/2006/main" totalsRowCount="1" ref="A1:F16" displayName="OAKER_Experience_Overview_3" name="OAKER_Experience_Overview_3" id="3">
  <tableColumns count="6">
    <tableColumn name="Location" id="1"/>
    <tableColumn name="Responsable" id="2"/>
    <tableColumn totalsRowLabel="Average" name="Date" id="3"/>
    <tableColumn totalsRowFunction="custom" name="Score" id="4"/>
    <tableColumn name="Overview" id="5"/>
    <tableColumn name="Follow Up" id="6"/>
  </tableColumns>
  <tableStyleInfo name="Apr-style" showColumnStripes="0" showFirstColumn="1" showLastColumn="1" showRowStripes="1"/>
</table>
</file>

<file path=xl/tables/table4.xml><?xml version="1.0" encoding="utf-8"?>
<table xmlns="http://schemas.openxmlformats.org/spreadsheetml/2006/main" totalsRowCount="1" ref="A1:F18" displayName="OAKER_Experience_Overview_4" name="OAKER_Experience_Overview_4" id="4">
  <tableColumns count="6">
    <tableColumn name="Location" id="1"/>
    <tableColumn name="Responsable" id="2"/>
    <tableColumn totalsRowLabel="Average" name="Date" id="3"/>
    <tableColumn totalsRowFunction="custom" name="Score" id="4"/>
    <tableColumn name="Overview" id="5"/>
    <tableColumn name="Follow Up" id="6"/>
  </tableColumns>
  <tableStyleInfo name="May-style" showColumnStripes="0" showFirstColumn="1" showLastColumn="1" showRowStripes="1"/>
</table>
</file>

<file path=xl/tables/table5.xml><?xml version="1.0" encoding="utf-8"?>
<table xmlns="http://schemas.openxmlformats.org/spreadsheetml/2006/main" totalsRowCount="1" ref="A1:F18" displayName="OAKER_Experience_Overview_5" name="OAKER_Experience_Overview_5" id="5">
  <tableColumns count="6">
    <tableColumn name="Location" id="1"/>
    <tableColumn name="Responsable" id="2"/>
    <tableColumn totalsRowLabel="Average" name="Date" id="3"/>
    <tableColumn totalsRowFunction="custom" name="Score" id="4"/>
    <tableColumn name="Overview" id="5"/>
    <tableColumn name="Follow Up" id="6"/>
  </tableColumns>
  <tableStyleInfo name="Jun-style" showColumnStripes="0" showFirstColumn="1" showLastColumn="1" showRowStripes="1"/>
</table>
</file>

<file path=xl/tables/table6.xml><?xml version="1.0" encoding="utf-8"?>
<table xmlns="http://schemas.openxmlformats.org/spreadsheetml/2006/main" totalsRowCount="1" ref="A1:F18" displayName="OAKER_Experience_Overview_6" name="OAKER_Experience_Overview_6" id="6">
  <tableColumns count="6">
    <tableColumn name="Location" id="1"/>
    <tableColumn name="Responsable" id="2"/>
    <tableColumn totalsRowLabel="Average" name="Date" id="3"/>
    <tableColumn totalsRowFunction="custom" name="Score" id="4"/>
    <tableColumn name="Overview" id="5"/>
    <tableColumn name="Follow Up" id="6"/>
  </tableColumns>
  <tableStyleInfo name="Jul-style" showColumnStripes="0" showFirstColumn="1" showLastColumn="1" showRowStripes="1"/>
</table>
</file>

<file path=xl/tables/table7.xml><?xml version="1.0" encoding="utf-8"?>
<table xmlns="http://schemas.openxmlformats.org/spreadsheetml/2006/main" totalsRowCount="1" ref="A1:F18" displayName="OAKER_Experience_Overview_7" name="OAKER_Experience_Overview_7" id="7">
  <tableColumns count="6">
    <tableColumn name="Location" id="1"/>
    <tableColumn name="Responsable" id="2"/>
    <tableColumn totalsRowLabel="Average" name="Date" id="3"/>
    <tableColumn totalsRowFunction="custom" name="Score" id="4"/>
    <tableColumn name="Overview" id="5"/>
    <tableColumn name="Follow Up" id="6"/>
  </tableColumns>
  <tableStyleInfo name="Aug-style" showColumnStripes="0" showFirstColumn="1" showLastColumn="1" showRowStripes="1"/>
</table>
</file>

<file path=xl/tables/table8.xml><?xml version="1.0" encoding="utf-8"?>
<table xmlns="http://schemas.openxmlformats.org/spreadsheetml/2006/main" totalsRowCount="1" ref="A1:F18" displayName="OAKER_Experience_Overview_8" name="OAKER_Experience_Overview_8" id="8">
  <tableColumns count="6">
    <tableColumn name="Location" id="1"/>
    <tableColumn name="Responsable" id="2"/>
    <tableColumn totalsRowLabel="Average" name="Date" id="3"/>
    <tableColumn totalsRowFunction="custom" name="Score" id="4"/>
    <tableColumn name="Overview" id="5"/>
    <tableColumn name="Follow Up" id="6"/>
  </tableColumns>
  <tableStyleInfo name="Sep-style" showColumnStripes="0" showFirstColumn="1" showLastColumn="1" showRowStripes="1"/>
</table>
</file>

<file path=xl/tables/table9.xml><?xml version="1.0" encoding="utf-8"?>
<table xmlns="http://schemas.openxmlformats.org/spreadsheetml/2006/main" totalsRowCount="1" ref="A1:F18" displayName="OAKER_Experience_Overview_9" name="OAKER_Experience_Overview_9" id="9">
  <tableColumns count="6">
    <tableColumn name="Location" id="1"/>
    <tableColumn name="Responsable" id="2"/>
    <tableColumn totalsRowLabel="Average" name="Date" id="3"/>
    <tableColumn totalsRowFunction="custom" name="Score" id="4"/>
    <tableColumn name="Overview" id="5"/>
    <tableColumn name="Follow Up" id="6"/>
  </tableColumns>
  <tableStyleInfo name="Oct-style" showColumnStripes="0" showFirstColumn="1" showLastColumn="1" showRowStripes="1"/>
</table>
</file>

<file path=xl/tables/table10.xml><?xml version="1.0" encoding="utf-8"?>
<table xmlns="http://schemas.openxmlformats.org/spreadsheetml/2006/main" totalsRowCount="1" ref="A1:F18" displayName="OAKER_Experience_Overview_10" name="OAKER_Experience_Overview_10" id="10">
  <tableColumns count="6">
    <tableColumn name="Location" id="1"/>
    <tableColumn name="Responsable" id="2"/>
    <tableColumn totalsRowLabel="Average" name="Date" id="3"/>
    <tableColumn totalsRowFunction="custom" name="Score" id="4"/>
    <tableColumn name="Overview" id="5"/>
    <tableColumn name="Follow Up" id="6"/>
  </tableColumns>
  <tableStyleInfo name="Nov-style" showColumnStripes="0" showFirstColumn="1" showLastColumn="1" showRowStripes="1"/>
</table>
</file>

<file path=xl/tables/table11.xml><?xml version="1.0" encoding="utf-8"?>
<table xmlns="http://schemas.openxmlformats.org/spreadsheetml/2006/main" totalsRowCount="1" ref="A1:F18" displayName="OAKER_Experience_Overview_11" name="OAKER_Experience_Overview_11" id="11">
  <tableColumns count="6">
    <tableColumn name="Location" id="1"/>
    <tableColumn name="Responsable" id="2"/>
    <tableColumn totalsRowLabel="Average" name="Date" id="3"/>
    <tableColumn totalsRowFunction="custom" name="Score" id="4"/>
    <tableColumn name="Overview" id="5"/>
    <tableColumn name="Follow Up" id="6"/>
  </tableColumns>
  <tableStyleInfo name="Dec-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0"/>
    <col customWidth="1" min="2" max="2" width="15.13"/>
    <col customWidth="1" min="3" max="3" width="12.25"/>
    <col customWidth="1" min="4" max="4" width="13.13"/>
    <col customWidth="1" min="5" max="6" width="57.5"/>
  </cols>
  <sheetData>
    <row r="1">
      <c r="A1" s="1" t="s">
        <v>0</v>
      </c>
      <c r="B1" s="1" t="s">
        <v>1</v>
      </c>
      <c r="C1" s="2" t="s">
        <v>2</v>
      </c>
      <c r="D1" s="3" t="s">
        <v>3</v>
      </c>
      <c r="E1" s="4" t="s">
        <v>4</v>
      </c>
      <c r="F1" s="4" t="s">
        <v>5</v>
      </c>
    </row>
    <row r="2">
      <c r="A2" s="1" t="s">
        <v>6</v>
      </c>
      <c r="B2" s="5" t="s">
        <v>7</v>
      </c>
      <c r="C2" s="6">
        <v>46079.0</v>
      </c>
      <c r="D2" s="7">
        <v>0.86</v>
      </c>
      <c r="E2" s="8" t="s">
        <v>8</v>
      </c>
      <c r="F2" s="8" t="s">
        <v>9</v>
      </c>
    </row>
    <row r="3">
      <c r="A3" s="1" t="s">
        <v>10</v>
      </c>
      <c r="B3" s="5" t="s">
        <v>7</v>
      </c>
      <c r="C3" s="6">
        <v>46080.0</v>
      </c>
      <c r="D3" s="7">
        <v>0.84</v>
      </c>
      <c r="E3" s="8" t="s">
        <v>11</v>
      </c>
      <c r="F3" s="9" t="s">
        <v>12</v>
      </c>
    </row>
    <row r="4">
      <c r="A4" s="1" t="s">
        <v>13</v>
      </c>
      <c r="B4" s="5" t="s">
        <v>7</v>
      </c>
      <c r="C4" s="6">
        <v>46080.0</v>
      </c>
      <c r="D4" s="7">
        <v>0.77</v>
      </c>
      <c r="E4" s="8" t="s">
        <v>14</v>
      </c>
      <c r="F4" s="8" t="s">
        <v>15</v>
      </c>
    </row>
    <row r="5">
      <c r="A5" s="1" t="s">
        <v>16</v>
      </c>
      <c r="B5" s="5" t="s">
        <v>7</v>
      </c>
      <c r="C5" s="6">
        <v>46090.0</v>
      </c>
      <c r="D5" s="7">
        <v>0.76</v>
      </c>
      <c r="E5" s="9" t="s">
        <v>17</v>
      </c>
      <c r="F5" s="8" t="s">
        <v>18</v>
      </c>
    </row>
    <row r="6">
      <c r="A6" s="1" t="s">
        <v>19</v>
      </c>
      <c r="B6" s="5" t="s">
        <v>7</v>
      </c>
      <c r="C6" s="6">
        <v>46079.0</v>
      </c>
      <c r="D6" s="7">
        <v>0.72</v>
      </c>
      <c r="E6" s="8" t="s">
        <v>20</v>
      </c>
      <c r="F6" s="8" t="s">
        <v>21</v>
      </c>
    </row>
    <row r="7">
      <c r="A7" s="1" t="s">
        <v>22</v>
      </c>
      <c r="B7" s="5" t="s">
        <v>7</v>
      </c>
      <c r="C7" s="6">
        <v>46079.0</v>
      </c>
      <c r="D7" s="7">
        <v>0.71</v>
      </c>
      <c r="E7" s="9" t="s">
        <v>23</v>
      </c>
      <c r="F7" s="9" t="s">
        <v>24</v>
      </c>
    </row>
    <row r="8">
      <c r="A8" s="1" t="s">
        <v>25</v>
      </c>
      <c r="B8" s="5" t="s">
        <v>7</v>
      </c>
      <c r="C8" s="6">
        <v>46078.0</v>
      </c>
      <c r="D8" s="7">
        <v>0.71</v>
      </c>
      <c r="E8" s="9" t="s">
        <v>26</v>
      </c>
      <c r="F8" s="8" t="s">
        <v>27</v>
      </c>
    </row>
    <row r="9">
      <c r="A9" s="1" t="s">
        <v>28</v>
      </c>
      <c r="B9" s="5" t="s">
        <v>7</v>
      </c>
      <c r="C9" s="6">
        <v>46079.0</v>
      </c>
      <c r="D9" s="7">
        <v>0.69</v>
      </c>
      <c r="E9" s="9" t="s">
        <v>29</v>
      </c>
      <c r="F9" s="8" t="s">
        <v>30</v>
      </c>
    </row>
    <row r="10">
      <c r="A10" s="1" t="s">
        <v>31</v>
      </c>
      <c r="B10" s="5" t="s">
        <v>7</v>
      </c>
      <c r="C10" s="6">
        <v>46080.0</v>
      </c>
      <c r="D10" s="7">
        <v>0.67</v>
      </c>
      <c r="E10" s="8" t="s">
        <v>32</v>
      </c>
      <c r="F10" s="8" t="s">
        <v>33</v>
      </c>
    </row>
    <row r="11">
      <c r="A11" s="1" t="s">
        <v>34</v>
      </c>
      <c r="B11" s="5" t="s">
        <v>7</v>
      </c>
      <c r="C11" s="6">
        <v>46078.0</v>
      </c>
      <c r="D11" s="7">
        <v>0.64</v>
      </c>
      <c r="E11" s="10" t="s">
        <v>35</v>
      </c>
      <c r="F11" s="8" t="s">
        <v>36</v>
      </c>
    </row>
    <row r="12">
      <c r="A12" s="1" t="s">
        <v>37</v>
      </c>
      <c r="B12" s="5" t="s">
        <v>7</v>
      </c>
      <c r="C12" s="6">
        <v>46077.0</v>
      </c>
      <c r="D12" s="7">
        <v>0.63</v>
      </c>
      <c r="E12" s="9" t="s">
        <v>38</v>
      </c>
      <c r="F12" s="8" t="s">
        <v>39</v>
      </c>
    </row>
    <row r="13">
      <c r="A13" s="1" t="s">
        <v>40</v>
      </c>
      <c r="B13" s="5" t="s">
        <v>7</v>
      </c>
      <c r="C13" s="6">
        <v>46077.0</v>
      </c>
      <c r="D13" s="7">
        <v>0.59</v>
      </c>
      <c r="E13" s="8" t="s">
        <v>41</v>
      </c>
      <c r="F13" s="11" t="s">
        <v>42</v>
      </c>
    </row>
    <row r="14">
      <c r="A14" s="1" t="s">
        <v>43</v>
      </c>
      <c r="B14" s="5" t="s">
        <v>7</v>
      </c>
      <c r="C14" s="6">
        <v>46073.0</v>
      </c>
      <c r="D14" s="7">
        <v>0.31</v>
      </c>
      <c r="E14" s="8" t="s">
        <v>44</v>
      </c>
      <c r="F14" s="9" t="s">
        <v>45</v>
      </c>
    </row>
    <row r="15">
      <c r="A15" s="1" t="s">
        <v>46</v>
      </c>
      <c r="B15" s="5"/>
      <c r="C15" s="12"/>
      <c r="D15" s="7"/>
      <c r="E15" s="13"/>
      <c r="F15" s="14"/>
    </row>
    <row r="16">
      <c r="A16" s="1" t="s">
        <v>47</v>
      </c>
      <c r="B16" s="5"/>
      <c r="C16" s="12"/>
      <c r="D16" s="15"/>
      <c r="E16" s="13"/>
      <c r="F16" s="14"/>
    </row>
    <row r="17">
      <c r="A17" s="1" t="s">
        <v>48</v>
      </c>
      <c r="B17" s="16"/>
      <c r="C17" s="12"/>
      <c r="D17" s="15"/>
      <c r="E17" s="13"/>
      <c r="F17" s="14"/>
    </row>
    <row r="18">
      <c r="A18" s="17"/>
      <c r="B18" s="18"/>
      <c r="C18" s="17" t="s">
        <v>49</v>
      </c>
      <c r="D18" s="19">
        <f>AVERAGE(OAKER_Experience_Overview[Score])</f>
        <v>0.6846153846</v>
      </c>
      <c r="E18" s="20"/>
      <c r="F18" s="20"/>
    </row>
  </sheetData>
  <conditionalFormatting sqref="D1:D18">
    <cfRule type="colorScale" priority="1">
      <colorScale>
        <cfvo type="percentile" val="75"/>
        <cfvo type="percentile" val="90"/>
        <cfvo type="percentile" val="100"/>
        <color rgb="FFEA9999"/>
        <color rgb="FFFFE599"/>
        <color rgb="FFB6D7A8"/>
      </colorScale>
    </cfRule>
  </conditionalFormatting>
  <dataValidations>
    <dataValidation type="custom" allowBlank="1" showDropDown="1" sqref="C2:C17">
      <formula1>OR(NOT(ISERROR(DATEVALUE(C2))), AND(ISNUMBER(C2), LEFT(CELL("format", C2))="D"))</formula1>
    </dataValidation>
    <dataValidation type="custom" allowBlank="1" showDropDown="1" sqref="D2:D17">
      <formula1>AND(ISNUMBER(D2),(NOT(OR(NOT(ISERROR(DATEVALUE(D2))), AND(ISNUMBER(D2), LEFT(CELL("format", D2))="D")))))</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2" width="15.13"/>
    <col customWidth="1" min="3" max="3" width="12.25"/>
    <col customWidth="1" min="4" max="4" width="13.13"/>
    <col customWidth="1" min="5" max="6" width="57.5"/>
  </cols>
  <sheetData>
    <row r="1">
      <c r="A1" s="1" t="s">
        <v>0</v>
      </c>
      <c r="B1" s="1" t="s">
        <v>1</v>
      </c>
      <c r="C1" s="2" t="s">
        <v>2</v>
      </c>
      <c r="D1" s="3" t="s">
        <v>3</v>
      </c>
      <c r="E1" s="21" t="s">
        <v>4</v>
      </c>
      <c r="F1" s="21" t="s">
        <v>5</v>
      </c>
    </row>
    <row r="2">
      <c r="A2" s="1" t="s">
        <v>10</v>
      </c>
      <c r="B2" s="5" t="s">
        <v>7</v>
      </c>
      <c r="C2" s="6">
        <v>46121.0</v>
      </c>
      <c r="D2" s="7">
        <v>0.88</v>
      </c>
      <c r="E2" s="22" t="s">
        <v>50</v>
      </c>
      <c r="F2" s="22" t="s">
        <v>51</v>
      </c>
    </row>
    <row r="3">
      <c r="A3" s="1" t="s">
        <v>13</v>
      </c>
      <c r="B3" s="5" t="s">
        <v>7</v>
      </c>
      <c r="C3" s="6">
        <v>46114.0</v>
      </c>
      <c r="D3" s="7">
        <v>0.86</v>
      </c>
      <c r="E3" s="22" t="s">
        <v>52</v>
      </c>
      <c r="F3" s="22" t="s">
        <v>53</v>
      </c>
    </row>
    <row r="4">
      <c r="A4" s="1" t="s">
        <v>46</v>
      </c>
      <c r="B4" s="5" t="s">
        <v>7</v>
      </c>
      <c r="C4" s="6">
        <v>46106.0</v>
      </c>
      <c r="D4" s="7">
        <v>0.86</v>
      </c>
      <c r="E4" s="22" t="s">
        <v>54</v>
      </c>
      <c r="F4" s="22" t="s">
        <v>55</v>
      </c>
    </row>
    <row r="5">
      <c r="A5" s="1" t="s">
        <v>31</v>
      </c>
      <c r="B5" s="5" t="s">
        <v>7</v>
      </c>
      <c r="C5" s="6">
        <v>46111.0</v>
      </c>
      <c r="D5" s="7">
        <v>0.84</v>
      </c>
      <c r="E5" s="22" t="s">
        <v>56</v>
      </c>
      <c r="F5" s="22" t="s">
        <v>57</v>
      </c>
    </row>
    <row r="6">
      <c r="A6" s="1" t="s">
        <v>40</v>
      </c>
      <c r="B6" s="5" t="s">
        <v>7</v>
      </c>
      <c r="C6" s="6">
        <v>46106.0</v>
      </c>
      <c r="D6" s="7">
        <v>0.84</v>
      </c>
      <c r="E6" s="22" t="s">
        <v>58</v>
      </c>
      <c r="F6" s="21" t="s">
        <v>59</v>
      </c>
    </row>
    <row r="7">
      <c r="A7" s="1" t="s">
        <v>22</v>
      </c>
      <c r="B7" s="5" t="s">
        <v>7</v>
      </c>
      <c r="C7" s="6">
        <v>46106.0</v>
      </c>
      <c r="D7" s="7">
        <v>0.81</v>
      </c>
      <c r="E7" s="22" t="s">
        <v>60</v>
      </c>
      <c r="F7" s="22" t="s">
        <v>61</v>
      </c>
    </row>
    <row r="8">
      <c r="A8" s="1" t="s">
        <v>37</v>
      </c>
      <c r="B8" s="5" t="s">
        <v>7</v>
      </c>
      <c r="C8" s="6">
        <v>46111.0</v>
      </c>
      <c r="D8" s="7">
        <v>0.78</v>
      </c>
      <c r="E8" s="21" t="s">
        <v>62</v>
      </c>
      <c r="F8" s="21" t="s">
        <v>63</v>
      </c>
    </row>
    <row r="9">
      <c r="A9" s="1" t="s">
        <v>6</v>
      </c>
      <c r="B9" s="5" t="s">
        <v>64</v>
      </c>
      <c r="C9" s="6">
        <v>46112.0</v>
      </c>
      <c r="D9" s="7">
        <v>0.77</v>
      </c>
      <c r="E9" s="22" t="s">
        <v>65</v>
      </c>
      <c r="F9" s="22" t="s">
        <v>66</v>
      </c>
    </row>
    <row r="10">
      <c r="A10" s="1" t="s">
        <v>28</v>
      </c>
      <c r="B10" s="5" t="s">
        <v>7</v>
      </c>
      <c r="C10" s="6">
        <v>46112.0</v>
      </c>
      <c r="D10" s="7">
        <v>0.74</v>
      </c>
      <c r="E10" s="21" t="s">
        <v>67</v>
      </c>
      <c r="F10" s="22" t="s">
        <v>68</v>
      </c>
    </row>
    <row r="11">
      <c r="A11" s="1" t="s">
        <v>16</v>
      </c>
      <c r="B11" s="5" t="s">
        <v>7</v>
      </c>
      <c r="C11" s="6">
        <v>46121.0</v>
      </c>
      <c r="D11" s="7">
        <v>0.73</v>
      </c>
      <c r="E11" s="13"/>
      <c r="F11" s="13"/>
    </row>
    <row r="12">
      <c r="A12" s="1" t="s">
        <v>25</v>
      </c>
      <c r="B12" s="5" t="s">
        <v>7</v>
      </c>
      <c r="C12" s="6">
        <v>46105.0</v>
      </c>
      <c r="D12" s="7">
        <v>0.73</v>
      </c>
      <c r="E12" s="21" t="s">
        <v>69</v>
      </c>
      <c r="F12" s="22" t="s">
        <v>70</v>
      </c>
    </row>
    <row r="13">
      <c r="A13" s="1" t="s">
        <v>34</v>
      </c>
      <c r="B13" s="5" t="s">
        <v>7</v>
      </c>
      <c r="C13" s="6">
        <v>46105.0</v>
      </c>
      <c r="D13" s="7">
        <v>0.72</v>
      </c>
      <c r="E13" s="23" t="s">
        <v>71</v>
      </c>
      <c r="F13" s="22" t="s">
        <v>72</v>
      </c>
    </row>
    <row r="14">
      <c r="A14" s="1" t="s">
        <v>43</v>
      </c>
      <c r="B14" s="5" t="s">
        <v>7</v>
      </c>
      <c r="C14" s="6">
        <v>46102.0</v>
      </c>
      <c r="D14" s="7">
        <v>0.64</v>
      </c>
      <c r="E14" s="22" t="s">
        <v>73</v>
      </c>
      <c r="F14" s="22" t="s">
        <v>74</v>
      </c>
    </row>
    <row r="15">
      <c r="A15" s="1" t="s">
        <v>47</v>
      </c>
      <c r="B15" s="5" t="s">
        <v>7</v>
      </c>
      <c r="C15" s="6">
        <v>46120.0</v>
      </c>
      <c r="D15" s="7">
        <v>0.35</v>
      </c>
      <c r="E15" s="13"/>
      <c r="F15" s="13"/>
    </row>
    <row r="16">
      <c r="A16" s="1" t="s">
        <v>19</v>
      </c>
      <c r="B16" s="5"/>
      <c r="C16" s="5"/>
      <c r="D16" s="7"/>
      <c r="E16" s="13"/>
      <c r="F16" s="13"/>
    </row>
    <row r="17">
      <c r="A17" s="1" t="s">
        <v>48</v>
      </c>
      <c r="B17" s="16"/>
      <c r="C17" s="12"/>
      <c r="D17" s="15"/>
      <c r="E17" s="13"/>
      <c r="F17" s="13"/>
    </row>
    <row r="18">
      <c r="A18" s="17"/>
      <c r="B18" s="18"/>
      <c r="C18" s="17" t="s">
        <v>49</v>
      </c>
      <c r="D18" s="19">
        <f>AVERAGE(OAKER_Experience_Overview_2[Score])</f>
        <v>0.7535714286</v>
      </c>
      <c r="E18" s="20"/>
      <c r="F18" s="20"/>
    </row>
  </sheetData>
  <conditionalFormatting sqref="D1:D18">
    <cfRule type="colorScale" priority="1">
      <colorScale>
        <cfvo type="percentile" val="75"/>
        <cfvo type="percentile" val="90"/>
        <cfvo type="percentile" val="100"/>
        <color rgb="FFEA9999"/>
        <color rgb="FFFFE599"/>
        <color rgb="FFB6D7A8"/>
      </colorScale>
    </cfRule>
  </conditionalFormatting>
  <conditionalFormatting sqref="D1:D18">
    <cfRule type="colorScale" priority="2">
      <colorScale>
        <cfvo type="percent" val="75"/>
        <cfvo type="percent" val="90"/>
        <cfvo type="percent" val="100"/>
        <color rgb="FFEA9999"/>
        <color rgb="FFFFE599"/>
        <color rgb="FFB6D7A8"/>
      </colorScale>
    </cfRule>
  </conditionalFormatting>
  <dataValidations>
    <dataValidation type="custom" allowBlank="1" showDropDown="1" sqref="C2:C17">
      <formula1>OR(NOT(ISERROR(DATEVALUE(C2))), AND(ISNUMBER(C2), LEFT(CELL("format", C2))="D"))</formula1>
    </dataValidation>
    <dataValidation type="custom" allowBlank="1" showDropDown="1" sqref="D2:D17">
      <formula1>AND(ISNUMBER(D2),(NOT(OR(NOT(ISERROR(DATEVALUE(D2))), AND(ISNUMBER(D2), LEFT(CELL("format", D2))="D")))))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2" width="15.13"/>
    <col customWidth="1" min="3" max="3" width="12.25"/>
    <col customWidth="1" min="4" max="4" width="13.13"/>
    <col customWidth="1" min="5" max="6" width="57.5"/>
  </cols>
  <sheetData>
    <row r="1">
      <c r="A1" s="1" t="s">
        <v>0</v>
      </c>
      <c r="B1" s="1" t="s">
        <v>1</v>
      </c>
      <c r="C1" s="2" t="s">
        <v>2</v>
      </c>
      <c r="D1" s="3" t="s">
        <v>3</v>
      </c>
      <c r="E1" s="4" t="s">
        <v>4</v>
      </c>
      <c r="F1" s="4" t="s">
        <v>5</v>
      </c>
    </row>
    <row r="2">
      <c r="A2" s="1" t="s">
        <v>13</v>
      </c>
      <c r="B2" s="5" t="s">
        <v>7</v>
      </c>
      <c r="C2" s="6">
        <v>46143.0</v>
      </c>
      <c r="D2" s="7">
        <v>0.94</v>
      </c>
      <c r="E2" s="22" t="s">
        <v>75</v>
      </c>
      <c r="F2" s="22" t="s">
        <v>76</v>
      </c>
    </row>
    <row r="3">
      <c r="A3" s="1" t="s">
        <v>10</v>
      </c>
      <c r="B3" s="5" t="s">
        <v>7</v>
      </c>
      <c r="C3" s="6">
        <v>46134.0</v>
      </c>
      <c r="D3" s="7">
        <v>0.87</v>
      </c>
      <c r="E3" s="22" t="s">
        <v>77</v>
      </c>
      <c r="F3" s="22" t="s">
        <v>78</v>
      </c>
    </row>
    <row r="4">
      <c r="A4" s="1" t="s">
        <v>6</v>
      </c>
      <c r="B4" s="5" t="s">
        <v>7</v>
      </c>
      <c r="C4" s="6">
        <v>46135.0</v>
      </c>
      <c r="D4" s="7">
        <v>0.86</v>
      </c>
      <c r="E4" s="13"/>
      <c r="F4" s="13"/>
    </row>
    <row r="5">
      <c r="A5" s="1" t="s">
        <v>25</v>
      </c>
      <c r="B5" s="5" t="s">
        <v>7</v>
      </c>
      <c r="C5" s="6">
        <v>46132.0</v>
      </c>
      <c r="D5" s="7">
        <v>0.84</v>
      </c>
      <c r="E5" s="22" t="s">
        <v>79</v>
      </c>
      <c r="F5" s="22" t="s">
        <v>80</v>
      </c>
    </row>
    <row r="6">
      <c r="A6" s="1" t="s">
        <v>31</v>
      </c>
      <c r="B6" s="5" t="s">
        <v>7</v>
      </c>
      <c r="C6" s="6">
        <v>46140.0</v>
      </c>
      <c r="D6" s="7">
        <v>0.8</v>
      </c>
      <c r="E6" s="22" t="s">
        <v>81</v>
      </c>
      <c r="F6" s="21" t="s">
        <v>82</v>
      </c>
    </row>
    <row r="7">
      <c r="A7" s="1" t="s">
        <v>37</v>
      </c>
      <c r="B7" s="5" t="s">
        <v>7</v>
      </c>
      <c r="C7" s="6">
        <v>46142.0</v>
      </c>
      <c r="D7" s="7">
        <v>0.8</v>
      </c>
      <c r="E7" s="22" t="s">
        <v>83</v>
      </c>
      <c r="F7" s="22" t="s">
        <v>84</v>
      </c>
    </row>
    <row r="8">
      <c r="A8" s="1" t="s">
        <v>34</v>
      </c>
      <c r="B8" s="5" t="s">
        <v>7</v>
      </c>
      <c r="C8" s="6">
        <v>46132.0</v>
      </c>
      <c r="D8" s="7">
        <v>0.8</v>
      </c>
      <c r="E8" s="22" t="s">
        <v>85</v>
      </c>
      <c r="F8" s="22" t="s">
        <v>86</v>
      </c>
    </row>
    <row r="9">
      <c r="A9" s="1" t="s">
        <v>22</v>
      </c>
      <c r="B9" s="5" t="s">
        <v>7</v>
      </c>
      <c r="C9" s="5" t="s">
        <v>87</v>
      </c>
      <c r="D9" s="7">
        <v>0.74</v>
      </c>
      <c r="E9" s="22" t="s">
        <v>88</v>
      </c>
      <c r="F9" s="22" t="s">
        <v>89</v>
      </c>
    </row>
    <row r="10">
      <c r="A10" s="1" t="s">
        <v>28</v>
      </c>
      <c r="B10" s="5" t="s">
        <v>7</v>
      </c>
      <c r="C10" s="6">
        <v>46134.0</v>
      </c>
      <c r="D10" s="7">
        <v>0.74</v>
      </c>
      <c r="E10" s="22" t="s">
        <v>90</v>
      </c>
      <c r="F10" s="22" t="s">
        <v>91</v>
      </c>
    </row>
    <row r="11">
      <c r="A11" s="1" t="s">
        <v>48</v>
      </c>
      <c r="B11" s="5" t="s">
        <v>7</v>
      </c>
      <c r="C11" s="6">
        <v>46141.0</v>
      </c>
      <c r="D11" s="7">
        <v>0.74</v>
      </c>
      <c r="E11" s="22" t="s">
        <v>92</v>
      </c>
      <c r="F11" s="22" t="s">
        <v>93</v>
      </c>
    </row>
    <row r="12">
      <c r="A12" s="1" t="s">
        <v>46</v>
      </c>
      <c r="B12" s="5" t="s">
        <v>94</v>
      </c>
      <c r="C12" s="6">
        <v>46134.0</v>
      </c>
      <c r="D12" s="7">
        <v>0.68</v>
      </c>
      <c r="E12" s="22" t="s">
        <v>95</v>
      </c>
      <c r="F12" s="22" t="s">
        <v>96</v>
      </c>
    </row>
    <row r="13">
      <c r="A13" s="1" t="s">
        <v>43</v>
      </c>
      <c r="B13" s="5" t="s">
        <v>7</v>
      </c>
      <c r="C13" s="6">
        <v>46129.0</v>
      </c>
      <c r="D13" s="7">
        <v>0.67</v>
      </c>
      <c r="E13" s="22" t="s">
        <v>97</v>
      </c>
      <c r="F13" s="22" t="s">
        <v>98</v>
      </c>
    </row>
    <row r="14">
      <c r="A14" s="1" t="s">
        <v>16</v>
      </c>
      <c r="B14" s="5" t="s">
        <v>7</v>
      </c>
      <c r="C14" s="6">
        <v>46121.0</v>
      </c>
      <c r="D14" s="7">
        <v>0.66</v>
      </c>
      <c r="E14" s="22" t="s">
        <v>99</v>
      </c>
      <c r="F14" s="22" t="s">
        <v>100</v>
      </c>
    </row>
    <row r="15">
      <c r="A15" s="1" t="s">
        <v>47</v>
      </c>
      <c r="B15" s="5" t="s">
        <v>7</v>
      </c>
      <c r="C15" s="6">
        <v>46120.0</v>
      </c>
      <c r="D15" s="5"/>
      <c r="E15" s="21" t="s">
        <v>101</v>
      </c>
      <c r="F15" s="21" t="s">
        <v>102</v>
      </c>
    </row>
    <row r="16">
      <c r="A16" s="17"/>
      <c r="B16" s="18"/>
      <c r="C16" s="24" t="s">
        <v>49</v>
      </c>
      <c r="D16" s="25">
        <f>AVERAGE(OAKER_Experience_Overview_3[Score])</f>
        <v>0.78</v>
      </c>
      <c r="E16" s="20"/>
      <c r="F16" s="20"/>
    </row>
  </sheetData>
  <conditionalFormatting sqref="D1:D16">
    <cfRule type="colorScale" priority="1">
      <colorScale>
        <cfvo type="percentile" val="75"/>
        <cfvo type="percentile" val="90"/>
        <cfvo type="percentile" val="100"/>
        <color rgb="FFEA9999"/>
        <color rgb="FFFFE599"/>
        <color rgb="FFB6D7A8"/>
      </colorScale>
    </cfRule>
  </conditionalFormatting>
  <conditionalFormatting sqref="D1:D16">
    <cfRule type="colorScale" priority="2">
      <colorScale>
        <cfvo type="percent" val="75"/>
        <cfvo type="percent" val="90"/>
        <cfvo type="percent" val="100"/>
        <color rgb="FFEA9999"/>
        <color rgb="FFFFE599"/>
        <color rgb="FFB6D7A8"/>
      </colorScale>
    </cfRule>
  </conditionalFormatting>
  <dataValidations>
    <dataValidation type="custom" allowBlank="1" showDropDown="1" sqref="C2:C15">
      <formula1>OR(NOT(ISERROR(DATEVALUE(C2))), AND(ISNUMBER(C2), LEFT(CELL("format", C2))="D"))</formula1>
    </dataValidation>
    <dataValidation type="custom" allowBlank="1" showDropDown="1" sqref="D2:D15">
      <formula1>AND(ISNUMBER(D2),(NOT(OR(NOT(ISERROR(DATEVALUE(D2))), AND(ISNUMBER(D2), LEFT(CELL("format", D2))="D")))))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2" width="15.13"/>
    <col customWidth="1" min="3" max="3" width="12.25"/>
    <col customWidth="1" min="4" max="4" width="13.13"/>
    <col customWidth="1" min="5" max="6" width="57.5"/>
  </cols>
  <sheetData>
    <row r="1">
      <c r="A1" s="1" t="s">
        <v>0</v>
      </c>
      <c r="B1" s="1" t="s">
        <v>1</v>
      </c>
      <c r="C1" s="2" t="s">
        <v>2</v>
      </c>
      <c r="D1" s="3" t="s">
        <v>3</v>
      </c>
      <c r="E1" s="4" t="s">
        <v>4</v>
      </c>
      <c r="F1" s="4" t="s">
        <v>5</v>
      </c>
    </row>
    <row r="2">
      <c r="A2" s="1" t="s">
        <v>6</v>
      </c>
      <c r="B2" s="5"/>
      <c r="C2" s="6"/>
      <c r="D2" s="7"/>
      <c r="E2" s="13"/>
      <c r="F2" s="13"/>
    </row>
    <row r="3">
      <c r="A3" s="1" t="s">
        <v>10</v>
      </c>
      <c r="B3" s="5"/>
      <c r="C3" s="6"/>
      <c r="D3" s="7"/>
      <c r="E3" s="13"/>
      <c r="F3" s="13"/>
    </row>
    <row r="4">
      <c r="A4" s="1" t="s">
        <v>13</v>
      </c>
      <c r="B4" s="5"/>
      <c r="C4" s="6"/>
      <c r="D4" s="7"/>
      <c r="E4" s="13"/>
      <c r="F4" s="13"/>
    </row>
    <row r="5">
      <c r="A5" s="1" t="s">
        <v>16</v>
      </c>
      <c r="B5" s="5"/>
      <c r="C5" s="6"/>
      <c r="D5" s="7"/>
      <c r="E5" s="13"/>
      <c r="F5" s="13"/>
    </row>
    <row r="6">
      <c r="A6" s="1" t="s">
        <v>19</v>
      </c>
      <c r="B6" s="5"/>
      <c r="C6" s="6"/>
      <c r="D6" s="7"/>
      <c r="E6" s="13"/>
      <c r="F6" s="13"/>
    </row>
    <row r="7">
      <c r="A7" s="1" t="s">
        <v>22</v>
      </c>
      <c r="B7" s="5"/>
      <c r="C7" s="6"/>
      <c r="D7" s="7"/>
      <c r="E7" s="13"/>
      <c r="F7" s="13"/>
    </row>
    <row r="8">
      <c r="A8" s="1" t="s">
        <v>25</v>
      </c>
      <c r="B8" s="5"/>
      <c r="C8" s="6"/>
      <c r="D8" s="7"/>
      <c r="E8" s="13"/>
      <c r="F8" s="13"/>
    </row>
    <row r="9">
      <c r="A9" s="1" t="s">
        <v>28</v>
      </c>
      <c r="B9" s="5"/>
      <c r="C9" s="6"/>
      <c r="D9" s="7"/>
      <c r="E9" s="13"/>
      <c r="F9" s="13"/>
    </row>
    <row r="10">
      <c r="A10" s="1" t="s">
        <v>31</v>
      </c>
      <c r="B10" s="5"/>
      <c r="C10" s="6"/>
      <c r="D10" s="7"/>
      <c r="E10" s="13"/>
      <c r="F10" s="13"/>
    </row>
    <row r="11">
      <c r="A11" s="1" t="s">
        <v>34</v>
      </c>
      <c r="B11" s="5"/>
      <c r="C11" s="6"/>
      <c r="D11" s="7"/>
      <c r="E11" s="13"/>
      <c r="F11" s="13"/>
    </row>
    <row r="12">
      <c r="A12" s="1" t="s">
        <v>37</v>
      </c>
      <c r="B12" s="5"/>
      <c r="C12" s="6"/>
      <c r="D12" s="7"/>
      <c r="E12" s="13"/>
      <c r="F12" s="13"/>
    </row>
    <row r="13">
      <c r="A13" s="1" t="s">
        <v>40</v>
      </c>
      <c r="B13" s="5"/>
      <c r="C13" s="6"/>
      <c r="D13" s="7"/>
      <c r="E13" s="13"/>
      <c r="F13" s="13"/>
    </row>
    <row r="14">
      <c r="A14" s="1" t="s">
        <v>43</v>
      </c>
      <c r="B14" s="5"/>
      <c r="C14" s="6"/>
      <c r="D14" s="7"/>
      <c r="E14" s="13"/>
      <c r="F14" s="13"/>
    </row>
    <row r="15">
      <c r="A15" s="1" t="s">
        <v>46</v>
      </c>
      <c r="B15" s="5"/>
      <c r="C15" s="12"/>
      <c r="D15" s="7"/>
      <c r="E15" s="13"/>
      <c r="F15" s="13"/>
    </row>
    <row r="16">
      <c r="A16" s="1" t="s">
        <v>47</v>
      </c>
      <c r="B16" s="5"/>
      <c r="C16" s="12"/>
      <c r="D16" s="15"/>
      <c r="E16" s="13"/>
      <c r="F16" s="13"/>
    </row>
    <row r="17">
      <c r="A17" s="1" t="s">
        <v>48</v>
      </c>
      <c r="B17" s="16"/>
      <c r="C17" s="12"/>
      <c r="D17" s="15"/>
      <c r="E17" s="13"/>
      <c r="F17" s="13"/>
    </row>
    <row r="18">
      <c r="A18" s="17"/>
      <c r="B18" s="18"/>
      <c r="C18" s="24" t="s">
        <v>49</v>
      </c>
      <c r="D18" s="25" t="str">
        <f>AVERAGE(OAKER_Experience_Overview_4[Score])</f>
        <v>#DIV/0!</v>
      </c>
      <c r="E18" s="20"/>
      <c r="F18" s="20"/>
    </row>
  </sheetData>
  <conditionalFormatting sqref="D1:D18">
    <cfRule type="colorScale" priority="1">
      <colorScale>
        <cfvo type="percentile" val="75"/>
        <cfvo type="percentile" val="90"/>
        <cfvo type="percentile" val="100"/>
        <color rgb="FFEA9999"/>
        <color rgb="FFFFE599"/>
        <color rgb="FFB6D7A8"/>
      </colorScale>
    </cfRule>
  </conditionalFormatting>
  <conditionalFormatting sqref="D1:D18">
    <cfRule type="colorScale" priority="2">
      <colorScale>
        <cfvo type="percent" val="75"/>
        <cfvo type="percent" val="90"/>
        <cfvo type="percent" val="100"/>
        <color rgb="FFEA9999"/>
        <color rgb="FFFFE599"/>
        <color rgb="FFB6D7A8"/>
      </colorScale>
    </cfRule>
  </conditionalFormatting>
  <dataValidations>
    <dataValidation type="custom" allowBlank="1" showDropDown="1" sqref="C2:C17">
      <formula1>OR(NOT(ISERROR(DATEVALUE(C2))), AND(ISNUMBER(C2), LEFT(CELL("format", C2))="D"))</formula1>
    </dataValidation>
    <dataValidation type="custom" allowBlank="1" showDropDown="1" sqref="D2:D17">
      <formula1>AND(ISNUMBER(D2),(NOT(OR(NOT(ISERROR(DATEVALUE(D2))), AND(ISNUMBER(D2), LEFT(CELL("format", D2))="D")))))</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2" width="15.13"/>
    <col customWidth="1" min="3" max="3" width="12.25"/>
    <col customWidth="1" min="4" max="4" width="13.13"/>
    <col customWidth="1" min="5" max="6" width="57.5"/>
  </cols>
  <sheetData>
    <row r="1">
      <c r="A1" s="1" t="s">
        <v>0</v>
      </c>
      <c r="B1" s="1" t="s">
        <v>1</v>
      </c>
      <c r="C1" s="2" t="s">
        <v>2</v>
      </c>
      <c r="D1" s="3" t="s">
        <v>3</v>
      </c>
      <c r="E1" s="4" t="s">
        <v>4</v>
      </c>
      <c r="F1" s="4" t="s">
        <v>5</v>
      </c>
    </row>
    <row r="2">
      <c r="A2" s="1" t="s">
        <v>6</v>
      </c>
      <c r="B2" s="5"/>
      <c r="C2" s="6"/>
      <c r="D2" s="7"/>
      <c r="E2" s="13"/>
      <c r="F2" s="13"/>
    </row>
    <row r="3">
      <c r="A3" s="1" t="s">
        <v>10</v>
      </c>
      <c r="B3" s="5"/>
      <c r="C3" s="6"/>
      <c r="D3" s="7"/>
      <c r="E3" s="13"/>
      <c r="F3" s="13"/>
    </row>
    <row r="4">
      <c r="A4" s="1" t="s">
        <v>13</v>
      </c>
      <c r="B4" s="5"/>
      <c r="C4" s="6"/>
      <c r="D4" s="7"/>
      <c r="E4" s="13"/>
      <c r="F4" s="13"/>
    </row>
    <row r="5">
      <c r="A5" s="1" t="s">
        <v>16</v>
      </c>
      <c r="B5" s="5"/>
      <c r="C5" s="6"/>
      <c r="D5" s="7"/>
      <c r="E5" s="13"/>
      <c r="F5" s="13"/>
    </row>
    <row r="6">
      <c r="A6" s="1" t="s">
        <v>19</v>
      </c>
      <c r="B6" s="5"/>
      <c r="C6" s="6"/>
      <c r="D6" s="7"/>
      <c r="E6" s="13"/>
      <c r="F6" s="13"/>
    </row>
    <row r="7">
      <c r="A7" s="1" t="s">
        <v>22</v>
      </c>
      <c r="B7" s="5"/>
      <c r="C7" s="6"/>
      <c r="D7" s="7"/>
      <c r="E7" s="13"/>
      <c r="F7" s="13"/>
    </row>
    <row r="8">
      <c r="A8" s="1" t="s">
        <v>25</v>
      </c>
      <c r="B8" s="5"/>
      <c r="C8" s="6"/>
      <c r="D8" s="7"/>
      <c r="E8" s="13"/>
      <c r="F8" s="13"/>
    </row>
    <row r="9">
      <c r="A9" s="1" t="s">
        <v>28</v>
      </c>
      <c r="B9" s="5"/>
      <c r="C9" s="6"/>
      <c r="D9" s="7"/>
      <c r="E9" s="13"/>
      <c r="F9" s="13"/>
    </row>
    <row r="10">
      <c r="A10" s="1" t="s">
        <v>31</v>
      </c>
      <c r="B10" s="5"/>
      <c r="C10" s="6"/>
      <c r="D10" s="7"/>
      <c r="E10" s="13"/>
      <c r="F10" s="13"/>
    </row>
    <row r="11">
      <c r="A11" s="1" t="s">
        <v>34</v>
      </c>
      <c r="B11" s="5"/>
      <c r="C11" s="6"/>
      <c r="D11" s="7"/>
      <c r="E11" s="13"/>
      <c r="F11" s="13"/>
    </row>
    <row r="12">
      <c r="A12" s="1" t="s">
        <v>37</v>
      </c>
      <c r="B12" s="5"/>
      <c r="C12" s="6"/>
      <c r="D12" s="7"/>
      <c r="E12" s="13"/>
      <c r="F12" s="13"/>
    </row>
    <row r="13">
      <c r="A13" s="1" t="s">
        <v>40</v>
      </c>
      <c r="B13" s="5"/>
      <c r="C13" s="6"/>
      <c r="D13" s="7"/>
      <c r="E13" s="13"/>
      <c r="F13" s="13"/>
    </row>
    <row r="14">
      <c r="A14" s="1" t="s">
        <v>43</v>
      </c>
      <c r="B14" s="5"/>
      <c r="C14" s="6"/>
      <c r="D14" s="7"/>
      <c r="E14" s="13"/>
      <c r="F14" s="13"/>
    </row>
    <row r="15">
      <c r="A15" s="1" t="s">
        <v>46</v>
      </c>
      <c r="B15" s="5"/>
      <c r="C15" s="12"/>
      <c r="D15" s="7"/>
      <c r="E15" s="13"/>
      <c r="F15" s="13"/>
    </row>
    <row r="16">
      <c r="A16" s="1" t="s">
        <v>47</v>
      </c>
      <c r="B16" s="5"/>
      <c r="C16" s="12"/>
      <c r="D16" s="15"/>
      <c r="E16" s="13"/>
      <c r="F16" s="13"/>
    </row>
    <row r="17">
      <c r="A17" s="1" t="s">
        <v>48</v>
      </c>
      <c r="B17" s="16"/>
      <c r="C17" s="12"/>
      <c r="D17" s="15"/>
      <c r="E17" s="13"/>
      <c r="F17" s="13"/>
    </row>
    <row r="18">
      <c r="A18" s="17"/>
      <c r="B18" s="18"/>
      <c r="C18" s="17" t="s">
        <v>49</v>
      </c>
      <c r="D18" s="19" t="str">
        <f>AVERAGE(OAKER_Experience_Overview_5[Score])</f>
        <v>#DIV/0!</v>
      </c>
      <c r="E18" s="20"/>
      <c r="F18" s="20"/>
    </row>
  </sheetData>
  <conditionalFormatting sqref="D1:D18">
    <cfRule type="colorScale" priority="1">
      <colorScale>
        <cfvo type="percentile" val="75"/>
        <cfvo type="percentile" val="90"/>
        <cfvo type="percentile" val="100"/>
        <color rgb="FFEA9999"/>
        <color rgb="FFFFE599"/>
        <color rgb="FFB6D7A8"/>
      </colorScale>
    </cfRule>
  </conditionalFormatting>
  <conditionalFormatting sqref="D1:D18">
    <cfRule type="colorScale" priority="2">
      <colorScale>
        <cfvo type="percent" val="75"/>
        <cfvo type="percent" val="90"/>
        <cfvo type="percent" val="100"/>
        <color rgb="FFEA9999"/>
        <color rgb="FFFFE599"/>
        <color rgb="FFB6D7A8"/>
      </colorScale>
    </cfRule>
  </conditionalFormatting>
  <dataValidations>
    <dataValidation type="custom" allowBlank="1" showDropDown="1" sqref="C2:C17">
      <formula1>OR(NOT(ISERROR(DATEVALUE(C2))), AND(ISNUMBER(C2), LEFT(CELL("format", C2))="D"))</formula1>
    </dataValidation>
    <dataValidation type="custom" allowBlank="1" showDropDown="1" sqref="D2:D17">
      <formula1>AND(ISNUMBER(D2),(NOT(OR(NOT(ISERROR(DATEVALUE(D2))), AND(ISNUMBER(D2), LEFT(CELL("format", D2))="D")))))</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2" width="15.13"/>
    <col customWidth="1" min="3" max="3" width="12.25"/>
    <col customWidth="1" min="4" max="4" width="13.13"/>
    <col customWidth="1" min="5" max="6" width="57.5"/>
  </cols>
  <sheetData>
    <row r="1">
      <c r="A1" s="1" t="s">
        <v>0</v>
      </c>
      <c r="B1" s="1" t="s">
        <v>1</v>
      </c>
      <c r="C1" s="2" t="s">
        <v>2</v>
      </c>
      <c r="D1" s="3" t="s">
        <v>3</v>
      </c>
      <c r="E1" s="4" t="s">
        <v>4</v>
      </c>
      <c r="F1" s="4" t="s">
        <v>5</v>
      </c>
    </row>
    <row r="2">
      <c r="A2" s="1" t="s">
        <v>6</v>
      </c>
      <c r="B2" s="5"/>
      <c r="C2" s="6"/>
      <c r="D2" s="7"/>
      <c r="E2" s="13"/>
      <c r="F2" s="13"/>
    </row>
    <row r="3">
      <c r="A3" s="1" t="s">
        <v>10</v>
      </c>
      <c r="B3" s="5"/>
      <c r="C3" s="6"/>
      <c r="D3" s="7"/>
      <c r="E3" s="13"/>
      <c r="F3" s="13"/>
    </row>
    <row r="4">
      <c r="A4" s="1" t="s">
        <v>13</v>
      </c>
      <c r="B4" s="5"/>
      <c r="C4" s="6"/>
      <c r="D4" s="7"/>
      <c r="E4" s="13"/>
      <c r="F4" s="13"/>
    </row>
    <row r="5">
      <c r="A5" s="1" t="s">
        <v>16</v>
      </c>
      <c r="B5" s="5"/>
      <c r="C5" s="6"/>
      <c r="D5" s="7"/>
      <c r="E5" s="13"/>
      <c r="F5" s="13"/>
    </row>
    <row r="6">
      <c r="A6" s="1" t="s">
        <v>19</v>
      </c>
      <c r="B6" s="5"/>
      <c r="C6" s="6"/>
      <c r="D6" s="7"/>
      <c r="E6" s="13"/>
      <c r="F6" s="13"/>
    </row>
    <row r="7">
      <c r="A7" s="1" t="s">
        <v>22</v>
      </c>
      <c r="B7" s="5"/>
      <c r="C7" s="6"/>
      <c r="D7" s="7"/>
      <c r="E7" s="13"/>
      <c r="F7" s="13"/>
    </row>
    <row r="8">
      <c r="A8" s="1" t="s">
        <v>25</v>
      </c>
      <c r="B8" s="5"/>
      <c r="C8" s="6"/>
      <c r="D8" s="7"/>
      <c r="E8" s="13"/>
      <c r="F8" s="13"/>
    </row>
    <row r="9">
      <c r="A9" s="1" t="s">
        <v>28</v>
      </c>
      <c r="B9" s="5"/>
      <c r="C9" s="6"/>
      <c r="D9" s="7"/>
      <c r="E9" s="13"/>
      <c r="F9" s="13"/>
    </row>
    <row r="10">
      <c r="A10" s="1" t="s">
        <v>31</v>
      </c>
      <c r="B10" s="5"/>
      <c r="C10" s="6"/>
      <c r="D10" s="7"/>
      <c r="E10" s="13"/>
      <c r="F10" s="13"/>
    </row>
    <row r="11">
      <c r="A11" s="1" t="s">
        <v>34</v>
      </c>
      <c r="B11" s="5"/>
      <c r="C11" s="6"/>
      <c r="D11" s="7"/>
      <c r="E11" s="13"/>
      <c r="F11" s="13"/>
    </row>
    <row r="12">
      <c r="A12" s="1" t="s">
        <v>37</v>
      </c>
      <c r="B12" s="5"/>
      <c r="C12" s="6"/>
      <c r="D12" s="7"/>
      <c r="E12" s="13"/>
      <c r="F12" s="13"/>
    </row>
    <row r="13">
      <c r="A13" s="1" t="s">
        <v>40</v>
      </c>
      <c r="B13" s="5"/>
      <c r="C13" s="6"/>
      <c r="D13" s="7"/>
      <c r="E13" s="13"/>
      <c r="F13" s="13"/>
    </row>
    <row r="14">
      <c r="A14" s="1" t="s">
        <v>43</v>
      </c>
      <c r="B14" s="5"/>
      <c r="C14" s="6"/>
      <c r="D14" s="7"/>
      <c r="E14" s="13"/>
      <c r="F14" s="13"/>
    </row>
    <row r="15">
      <c r="A15" s="1" t="s">
        <v>46</v>
      </c>
      <c r="B15" s="5"/>
      <c r="C15" s="12"/>
      <c r="D15" s="7"/>
      <c r="E15" s="13"/>
      <c r="F15" s="13"/>
    </row>
    <row r="16">
      <c r="A16" s="1" t="s">
        <v>47</v>
      </c>
      <c r="B16" s="5"/>
      <c r="C16" s="12"/>
      <c r="D16" s="15"/>
      <c r="E16" s="13"/>
      <c r="F16" s="13"/>
    </row>
    <row r="17">
      <c r="A17" s="1" t="s">
        <v>48</v>
      </c>
      <c r="B17" s="16"/>
      <c r="C17" s="12"/>
      <c r="D17" s="15"/>
      <c r="E17" s="13"/>
      <c r="F17" s="13"/>
    </row>
    <row r="18">
      <c r="A18" s="17"/>
      <c r="B18" s="18"/>
      <c r="C18" s="17" t="s">
        <v>49</v>
      </c>
      <c r="D18" s="19" t="str">
        <f>AVERAGE(OAKER_Experience_Overview_6[Score])</f>
        <v>#DIV/0!</v>
      </c>
      <c r="E18" s="20"/>
      <c r="F18" s="20"/>
    </row>
  </sheetData>
  <conditionalFormatting sqref="D1:D18">
    <cfRule type="colorScale" priority="1">
      <colorScale>
        <cfvo type="percentile" val="75"/>
        <cfvo type="percentile" val="90"/>
        <cfvo type="percentile" val="100"/>
        <color rgb="FFEA9999"/>
        <color rgb="FFFFE599"/>
        <color rgb="FFB6D7A8"/>
      </colorScale>
    </cfRule>
  </conditionalFormatting>
  <conditionalFormatting sqref="D1:D18">
    <cfRule type="colorScale" priority="2">
      <colorScale>
        <cfvo type="percent" val="75"/>
        <cfvo type="percent" val="90"/>
        <cfvo type="percent" val="100"/>
        <color rgb="FFEA9999"/>
        <color rgb="FFFFE599"/>
        <color rgb="FFB6D7A8"/>
      </colorScale>
    </cfRule>
  </conditionalFormatting>
  <dataValidations>
    <dataValidation type="custom" allowBlank="1" showDropDown="1" sqref="C2:C17">
      <formula1>OR(NOT(ISERROR(DATEVALUE(C2))), AND(ISNUMBER(C2), LEFT(CELL("format", C2))="D"))</formula1>
    </dataValidation>
    <dataValidation type="custom" allowBlank="1" showDropDown="1" sqref="D2:D17">
      <formula1>AND(ISNUMBER(D2),(NOT(OR(NOT(ISERROR(DATEVALUE(D2))), AND(ISNUMBER(D2), LEFT(CELL("format", D2))="D")))))</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2" width="15.13"/>
    <col customWidth="1" min="3" max="3" width="12.25"/>
    <col customWidth="1" min="4" max="4" width="13.13"/>
    <col customWidth="1" min="5" max="6" width="57.5"/>
  </cols>
  <sheetData>
    <row r="1">
      <c r="A1" s="1" t="s">
        <v>0</v>
      </c>
      <c r="B1" s="1" t="s">
        <v>1</v>
      </c>
      <c r="C1" s="2" t="s">
        <v>2</v>
      </c>
      <c r="D1" s="3" t="s">
        <v>3</v>
      </c>
      <c r="E1" s="4" t="s">
        <v>4</v>
      </c>
      <c r="F1" s="4" t="s">
        <v>5</v>
      </c>
    </row>
    <row r="2">
      <c r="A2" s="1" t="s">
        <v>6</v>
      </c>
      <c r="B2" s="5"/>
      <c r="C2" s="6"/>
      <c r="D2" s="7"/>
      <c r="E2" s="13"/>
      <c r="F2" s="13"/>
    </row>
    <row r="3">
      <c r="A3" s="1" t="s">
        <v>10</v>
      </c>
      <c r="B3" s="5"/>
      <c r="C3" s="6"/>
      <c r="D3" s="7"/>
      <c r="E3" s="13"/>
      <c r="F3" s="13"/>
    </row>
    <row r="4">
      <c r="A4" s="1" t="s">
        <v>13</v>
      </c>
      <c r="B4" s="5"/>
      <c r="C4" s="6"/>
      <c r="D4" s="7"/>
      <c r="E4" s="13"/>
      <c r="F4" s="13"/>
    </row>
    <row r="5">
      <c r="A5" s="1" t="s">
        <v>16</v>
      </c>
      <c r="B5" s="5"/>
      <c r="C5" s="6"/>
      <c r="D5" s="7"/>
      <c r="E5" s="13"/>
      <c r="F5" s="13"/>
    </row>
    <row r="6">
      <c r="A6" s="1" t="s">
        <v>19</v>
      </c>
      <c r="B6" s="5"/>
      <c r="C6" s="6"/>
      <c r="D6" s="7"/>
      <c r="E6" s="13"/>
      <c r="F6" s="13"/>
    </row>
    <row r="7">
      <c r="A7" s="1" t="s">
        <v>22</v>
      </c>
      <c r="B7" s="5"/>
      <c r="C7" s="6"/>
      <c r="D7" s="7"/>
      <c r="E7" s="13"/>
      <c r="F7" s="13"/>
    </row>
    <row r="8">
      <c r="A8" s="1" t="s">
        <v>25</v>
      </c>
      <c r="B8" s="5"/>
      <c r="C8" s="6"/>
      <c r="D8" s="7"/>
      <c r="E8" s="13"/>
      <c r="F8" s="13"/>
    </row>
    <row r="9">
      <c r="A9" s="1" t="s">
        <v>28</v>
      </c>
      <c r="B9" s="5"/>
      <c r="C9" s="6"/>
      <c r="D9" s="7"/>
      <c r="E9" s="13"/>
      <c r="F9" s="13"/>
    </row>
    <row r="10">
      <c r="A10" s="1" t="s">
        <v>31</v>
      </c>
      <c r="B10" s="5"/>
      <c r="C10" s="6"/>
      <c r="D10" s="7"/>
      <c r="E10" s="13"/>
      <c r="F10" s="13"/>
    </row>
    <row r="11">
      <c r="A11" s="1" t="s">
        <v>34</v>
      </c>
      <c r="B11" s="5"/>
      <c r="C11" s="6"/>
      <c r="D11" s="7"/>
      <c r="E11" s="13"/>
      <c r="F11" s="13"/>
    </row>
    <row r="12">
      <c r="A12" s="1" t="s">
        <v>37</v>
      </c>
      <c r="B12" s="5"/>
      <c r="C12" s="6"/>
      <c r="D12" s="7"/>
      <c r="E12" s="13"/>
      <c r="F12" s="13"/>
    </row>
    <row r="13">
      <c r="A13" s="1" t="s">
        <v>40</v>
      </c>
      <c r="B13" s="5"/>
      <c r="C13" s="6"/>
      <c r="D13" s="7"/>
      <c r="E13" s="13"/>
      <c r="F13" s="13"/>
    </row>
    <row r="14">
      <c r="A14" s="1" t="s">
        <v>43</v>
      </c>
      <c r="B14" s="5"/>
      <c r="C14" s="6"/>
      <c r="D14" s="7"/>
      <c r="E14" s="13"/>
      <c r="F14" s="13"/>
    </row>
    <row r="15">
      <c r="A15" s="1" t="s">
        <v>46</v>
      </c>
      <c r="B15" s="5"/>
      <c r="C15" s="12"/>
      <c r="D15" s="7"/>
      <c r="E15" s="13"/>
      <c r="F15" s="13"/>
    </row>
    <row r="16">
      <c r="A16" s="1" t="s">
        <v>47</v>
      </c>
      <c r="B16" s="5"/>
      <c r="C16" s="12"/>
      <c r="D16" s="15"/>
      <c r="E16" s="13"/>
      <c r="F16" s="13"/>
    </row>
    <row r="17">
      <c r="A17" s="1" t="s">
        <v>48</v>
      </c>
      <c r="B17" s="16"/>
      <c r="C17" s="12"/>
      <c r="D17" s="15"/>
      <c r="E17" s="13"/>
      <c r="F17" s="13"/>
    </row>
    <row r="18">
      <c r="A18" s="17"/>
      <c r="B18" s="18"/>
      <c r="C18" s="17" t="s">
        <v>49</v>
      </c>
      <c r="D18" s="19" t="str">
        <f>AVERAGE(OAKER_Experience_Overview_7[Score])</f>
        <v>#DIV/0!</v>
      </c>
      <c r="E18" s="20"/>
      <c r="F18" s="20"/>
    </row>
  </sheetData>
  <conditionalFormatting sqref="D1:D18">
    <cfRule type="colorScale" priority="1">
      <colorScale>
        <cfvo type="percentile" val="75"/>
        <cfvo type="percentile" val="90"/>
        <cfvo type="percentile" val="100"/>
        <color rgb="FFEA9999"/>
        <color rgb="FFFFE599"/>
        <color rgb="FFB6D7A8"/>
      </colorScale>
    </cfRule>
  </conditionalFormatting>
  <conditionalFormatting sqref="D1:D18">
    <cfRule type="colorScale" priority="2">
      <colorScale>
        <cfvo type="percent" val="75"/>
        <cfvo type="percent" val="90"/>
        <cfvo type="percent" val="100"/>
        <color rgb="FFEA9999"/>
        <color rgb="FFFFE599"/>
        <color rgb="FFB6D7A8"/>
      </colorScale>
    </cfRule>
  </conditionalFormatting>
  <dataValidations>
    <dataValidation type="custom" allowBlank="1" showDropDown="1" sqref="C2:C17">
      <formula1>OR(NOT(ISERROR(DATEVALUE(C2))), AND(ISNUMBER(C2), LEFT(CELL("format", C2))="D"))</formula1>
    </dataValidation>
    <dataValidation type="custom" allowBlank="1" showDropDown="1" sqref="D2:D17">
      <formula1>AND(ISNUMBER(D2),(NOT(OR(NOT(ISERROR(DATEVALUE(D2))), AND(ISNUMBER(D2), LEFT(CELL("format", D2))="D")))))</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2" width="15.13"/>
    <col customWidth="1" min="3" max="3" width="12.25"/>
    <col customWidth="1" min="4" max="4" width="13.13"/>
    <col customWidth="1" min="5" max="6" width="57.5"/>
  </cols>
  <sheetData>
    <row r="1">
      <c r="A1" s="26" t="s">
        <v>0</v>
      </c>
      <c r="B1" s="27" t="s">
        <v>1</v>
      </c>
      <c r="C1" s="28" t="s">
        <v>2</v>
      </c>
      <c r="D1" s="29" t="s">
        <v>3</v>
      </c>
      <c r="E1" s="30" t="s">
        <v>4</v>
      </c>
      <c r="F1" s="31" t="s">
        <v>5</v>
      </c>
    </row>
    <row r="2">
      <c r="A2" s="32" t="s">
        <v>6</v>
      </c>
      <c r="B2" s="33"/>
      <c r="C2" s="34"/>
      <c r="D2" s="35"/>
      <c r="E2" s="33"/>
      <c r="F2" s="36"/>
    </row>
    <row r="3">
      <c r="A3" s="37" t="s">
        <v>10</v>
      </c>
      <c r="B3" s="38"/>
      <c r="C3" s="39"/>
      <c r="D3" s="40"/>
      <c r="E3" s="41"/>
      <c r="F3" s="42"/>
    </row>
    <row r="4">
      <c r="A4" s="32" t="s">
        <v>13</v>
      </c>
      <c r="B4" s="43"/>
      <c r="C4" s="34"/>
      <c r="D4" s="35"/>
      <c r="E4" s="33"/>
      <c r="F4" s="36"/>
    </row>
    <row r="5">
      <c r="A5" s="37" t="s">
        <v>16</v>
      </c>
      <c r="B5" s="38"/>
      <c r="C5" s="39"/>
      <c r="D5" s="40"/>
      <c r="E5" s="41"/>
      <c r="F5" s="42"/>
    </row>
    <row r="6">
      <c r="A6" s="32" t="s">
        <v>19</v>
      </c>
      <c r="B6" s="43"/>
      <c r="C6" s="34"/>
      <c r="D6" s="35"/>
      <c r="E6" s="33"/>
      <c r="F6" s="36"/>
    </row>
    <row r="7">
      <c r="A7" s="37" t="s">
        <v>22</v>
      </c>
      <c r="B7" s="38"/>
      <c r="C7" s="39"/>
      <c r="D7" s="40"/>
      <c r="E7" s="41"/>
      <c r="F7" s="42"/>
    </row>
    <row r="8">
      <c r="A8" s="32" t="s">
        <v>25</v>
      </c>
      <c r="B8" s="43"/>
      <c r="C8" s="34"/>
      <c r="D8" s="35"/>
      <c r="E8" s="33"/>
      <c r="F8" s="36"/>
    </row>
    <row r="9">
      <c r="A9" s="37" t="s">
        <v>28</v>
      </c>
      <c r="B9" s="38"/>
      <c r="C9" s="39"/>
      <c r="D9" s="40"/>
      <c r="E9" s="41"/>
      <c r="F9" s="42"/>
    </row>
    <row r="10">
      <c r="A10" s="32" t="s">
        <v>31</v>
      </c>
      <c r="B10" s="43"/>
      <c r="C10" s="34"/>
      <c r="D10" s="35"/>
      <c r="E10" s="33"/>
      <c r="F10" s="36"/>
    </row>
    <row r="11">
      <c r="A11" s="37" t="s">
        <v>34</v>
      </c>
      <c r="B11" s="38"/>
      <c r="C11" s="39"/>
      <c r="D11" s="40"/>
      <c r="E11" s="41"/>
      <c r="F11" s="42"/>
    </row>
    <row r="12">
      <c r="A12" s="32" t="s">
        <v>37</v>
      </c>
      <c r="B12" s="43"/>
      <c r="C12" s="34"/>
      <c r="D12" s="35"/>
      <c r="E12" s="33"/>
      <c r="F12" s="36"/>
    </row>
    <row r="13">
      <c r="A13" s="37" t="s">
        <v>40</v>
      </c>
      <c r="B13" s="38"/>
      <c r="C13" s="39"/>
      <c r="D13" s="40"/>
      <c r="E13" s="41"/>
      <c r="F13" s="42"/>
    </row>
    <row r="14">
      <c r="A14" s="32" t="s">
        <v>43</v>
      </c>
      <c r="B14" s="43"/>
      <c r="C14" s="34"/>
      <c r="D14" s="35"/>
      <c r="E14" s="33"/>
      <c r="F14" s="36"/>
    </row>
    <row r="15">
      <c r="A15" s="37" t="s">
        <v>46</v>
      </c>
      <c r="B15" s="38"/>
      <c r="C15" s="39"/>
      <c r="D15" s="40"/>
      <c r="E15" s="41"/>
      <c r="F15" s="42"/>
    </row>
    <row r="16">
      <c r="A16" s="32" t="s">
        <v>47</v>
      </c>
      <c r="B16" s="43"/>
      <c r="C16" s="34"/>
      <c r="D16" s="35"/>
      <c r="E16" s="33"/>
      <c r="F16" s="36"/>
    </row>
    <row r="17">
      <c r="A17" s="37" t="s">
        <v>48</v>
      </c>
      <c r="B17" s="38"/>
      <c r="C17" s="39"/>
      <c r="D17" s="40"/>
      <c r="E17" s="41"/>
      <c r="F17" s="42"/>
    </row>
    <row r="18">
      <c r="A18" s="44"/>
      <c r="B18" s="44"/>
      <c r="C18" s="45" t="s">
        <v>49</v>
      </c>
      <c r="D18" s="46" t="str">
        <f>AVERAGE(OAKER_Experience_Overview_8[Score])</f>
        <v>#DIV/0!</v>
      </c>
      <c r="E18" s="44"/>
      <c r="F18" s="44"/>
    </row>
  </sheetData>
  <conditionalFormatting sqref="D1:D18">
    <cfRule type="colorScale" priority="1">
      <colorScale>
        <cfvo type="percent" val="75"/>
        <cfvo type="percent" val="90"/>
        <cfvo type="percent" val="100"/>
        <color rgb="FFEA9999"/>
        <color rgb="FFFFE599"/>
        <color rgb="FFB6D7A8"/>
      </colorScale>
    </cfRule>
  </conditionalFormatting>
  <dataValidations>
    <dataValidation type="custom" allowBlank="1" showDropDown="1" sqref="C2:C17">
      <formula1>OR(NOT(ISERROR(DATEVALUE(C2))), AND(ISNUMBER(C2), LEFT(CELL("format", C2))="D"))</formula1>
    </dataValidation>
    <dataValidation type="custom" allowBlank="1" showDropDown="1" sqref="D2:D17">
      <formula1>AND(ISNUMBER(D2),(NOT(OR(NOT(ISERROR(DATEVALUE(D2))), AND(ISNUMBER(D2), LEFT(CELL("format", D2))="D")))))</formula1>
    </dataValidation>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2" width="15.13"/>
    <col customWidth="1" min="3" max="3" width="12.25"/>
    <col customWidth="1" min="4" max="4" width="13.13"/>
    <col customWidth="1" min="5" max="6" width="57.5"/>
  </cols>
  <sheetData>
    <row r="1">
      <c r="A1" s="26" t="s">
        <v>0</v>
      </c>
      <c r="B1" s="27" t="s">
        <v>1</v>
      </c>
      <c r="C1" s="28" t="s">
        <v>2</v>
      </c>
      <c r="D1" s="29" t="s">
        <v>3</v>
      </c>
      <c r="E1" s="30" t="s">
        <v>4</v>
      </c>
      <c r="F1" s="31" t="s">
        <v>5</v>
      </c>
    </row>
    <row r="2">
      <c r="A2" s="32" t="s">
        <v>6</v>
      </c>
      <c r="B2" s="33"/>
      <c r="C2" s="34"/>
      <c r="D2" s="35"/>
      <c r="E2" s="33"/>
      <c r="F2" s="36"/>
    </row>
    <row r="3">
      <c r="A3" s="37" t="s">
        <v>10</v>
      </c>
      <c r="B3" s="38"/>
      <c r="C3" s="39"/>
      <c r="D3" s="40"/>
      <c r="E3" s="41"/>
      <c r="F3" s="42"/>
    </row>
    <row r="4">
      <c r="A4" s="32" t="s">
        <v>13</v>
      </c>
      <c r="B4" s="43"/>
      <c r="C4" s="34"/>
      <c r="D4" s="35"/>
      <c r="E4" s="33"/>
      <c r="F4" s="36"/>
    </row>
    <row r="5">
      <c r="A5" s="37" t="s">
        <v>16</v>
      </c>
      <c r="B5" s="38"/>
      <c r="C5" s="39"/>
      <c r="D5" s="40"/>
      <c r="E5" s="41"/>
      <c r="F5" s="42"/>
    </row>
    <row r="6">
      <c r="A6" s="32" t="s">
        <v>19</v>
      </c>
      <c r="B6" s="43"/>
      <c r="C6" s="34"/>
      <c r="D6" s="35"/>
      <c r="E6" s="33"/>
      <c r="F6" s="36"/>
    </row>
    <row r="7">
      <c r="A7" s="37" t="s">
        <v>22</v>
      </c>
      <c r="B7" s="38"/>
      <c r="C7" s="39"/>
      <c r="D7" s="40"/>
      <c r="E7" s="41"/>
      <c r="F7" s="42"/>
    </row>
    <row r="8">
      <c r="A8" s="32" t="s">
        <v>25</v>
      </c>
      <c r="B8" s="43"/>
      <c r="C8" s="34"/>
      <c r="D8" s="35"/>
      <c r="E8" s="33"/>
      <c r="F8" s="36"/>
    </row>
    <row r="9">
      <c r="A9" s="37" t="s">
        <v>28</v>
      </c>
      <c r="B9" s="38"/>
      <c r="C9" s="39"/>
      <c r="D9" s="40"/>
      <c r="E9" s="41"/>
      <c r="F9" s="42"/>
    </row>
    <row r="10">
      <c r="A10" s="32" t="s">
        <v>31</v>
      </c>
      <c r="B10" s="43"/>
      <c r="C10" s="34"/>
      <c r="D10" s="35"/>
      <c r="E10" s="33"/>
      <c r="F10" s="36"/>
    </row>
    <row r="11">
      <c r="A11" s="37" t="s">
        <v>34</v>
      </c>
      <c r="B11" s="38"/>
      <c r="C11" s="39"/>
      <c r="D11" s="40"/>
      <c r="E11" s="41"/>
      <c r="F11" s="42"/>
    </row>
    <row r="12">
      <c r="A12" s="32" t="s">
        <v>37</v>
      </c>
      <c r="B12" s="43"/>
      <c r="C12" s="34"/>
      <c r="D12" s="35"/>
      <c r="E12" s="33"/>
      <c r="F12" s="36"/>
    </row>
    <row r="13">
      <c r="A13" s="37" t="s">
        <v>40</v>
      </c>
      <c r="B13" s="38"/>
      <c r="C13" s="39"/>
      <c r="D13" s="40"/>
      <c r="E13" s="41"/>
      <c r="F13" s="42"/>
    </row>
    <row r="14">
      <c r="A14" s="32" t="s">
        <v>43</v>
      </c>
      <c r="B14" s="43"/>
      <c r="C14" s="34"/>
      <c r="D14" s="35"/>
      <c r="E14" s="33"/>
      <c r="F14" s="36"/>
    </row>
    <row r="15">
      <c r="A15" s="37" t="s">
        <v>46</v>
      </c>
      <c r="B15" s="38"/>
      <c r="C15" s="39"/>
      <c r="D15" s="40"/>
      <c r="E15" s="41"/>
      <c r="F15" s="42"/>
    </row>
    <row r="16">
      <c r="A16" s="32" t="s">
        <v>47</v>
      </c>
      <c r="B16" s="43"/>
      <c r="C16" s="34"/>
      <c r="D16" s="35"/>
      <c r="E16" s="33"/>
      <c r="F16" s="36"/>
    </row>
    <row r="17">
      <c r="A17" s="37" t="s">
        <v>48</v>
      </c>
      <c r="B17" s="38"/>
      <c r="C17" s="39"/>
      <c r="D17" s="40"/>
      <c r="E17" s="41"/>
      <c r="F17" s="42"/>
    </row>
    <row r="18">
      <c r="A18" s="44"/>
      <c r="B18" s="44"/>
      <c r="C18" s="45" t="s">
        <v>49</v>
      </c>
      <c r="D18" s="46" t="str">
        <f>AVERAGE(OAKER_Experience_Overview_9[Score])</f>
        <v>#DIV/0!</v>
      </c>
      <c r="E18" s="44"/>
      <c r="F18" s="44"/>
    </row>
  </sheetData>
  <conditionalFormatting sqref="D1:D18">
    <cfRule type="colorScale" priority="1">
      <colorScale>
        <cfvo type="percent" val="75"/>
        <cfvo type="percent" val="90"/>
        <cfvo type="percent" val="100"/>
        <color rgb="FFEA9999"/>
        <color rgb="FFFFE599"/>
        <color rgb="FFB6D7A8"/>
      </colorScale>
    </cfRule>
  </conditionalFormatting>
  <dataValidations>
    <dataValidation type="custom" allowBlank="1" showDropDown="1" sqref="C2:C17">
      <formula1>OR(NOT(ISERROR(DATEVALUE(C2))), AND(ISNUMBER(C2), LEFT(CELL("format", C2))="D"))</formula1>
    </dataValidation>
    <dataValidation type="custom" allowBlank="1" showDropDown="1" sqref="D2:D17">
      <formula1>AND(ISNUMBER(D2),(NOT(OR(NOT(ISERROR(DATEVALUE(D2))), AND(ISNUMBER(D2), LEFT(CELL("format", D2))="D")))))</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2" width="15.13"/>
    <col customWidth="1" min="3" max="3" width="12.25"/>
    <col customWidth="1" min="4" max="4" width="13.13"/>
    <col customWidth="1" min="5" max="6" width="57.5"/>
  </cols>
  <sheetData>
    <row r="1">
      <c r="A1" s="26" t="s">
        <v>0</v>
      </c>
      <c r="B1" s="27" t="s">
        <v>1</v>
      </c>
      <c r="C1" s="28" t="s">
        <v>2</v>
      </c>
      <c r="D1" s="29" t="s">
        <v>3</v>
      </c>
      <c r="E1" s="30" t="s">
        <v>4</v>
      </c>
      <c r="F1" s="31" t="s">
        <v>5</v>
      </c>
    </row>
    <row r="2">
      <c r="A2" s="32" t="s">
        <v>6</v>
      </c>
      <c r="B2" s="33"/>
      <c r="C2" s="34"/>
      <c r="D2" s="35"/>
      <c r="E2" s="33"/>
      <c r="F2" s="36"/>
    </row>
    <row r="3">
      <c r="A3" s="37" t="s">
        <v>10</v>
      </c>
      <c r="B3" s="38"/>
      <c r="C3" s="39"/>
      <c r="D3" s="40"/>
      <c r="E3" s="41"/>
      <c r="F3" s="42"/>
    </row>
    <row r="4">
      <c r="A4" s="32" t="s">
        <v>13</v>
      </c>
      <c r="B4" s="43"/>
      <c r="C4" s="34"/>
      <c r="D4" s="35"/>
      <c r="E4" s="33"/>
      <c r="F4" s="36"/>
    </row>
    <row r="5">
      <c r="A5" s="37" t="s">
        <v>16</v>
      </c>
      <c r="B5" s="38"/>
      <c r="C5" s="39"/>
      <c r="D5" s="40"/>
      <c r="E5" s="41"/>
      <c r="F5" s="42"/>
    </row>
    <row r="6">
      <c r="A6" s="32" t="s">
        <v>19</v>
      </c>
      <c r="B6" s="43"/>
      <c r="C6" s="34"/>
      <c r="D6" s="35"/>
      <c r="E6" s="33"/>
      <c r="F6" s="36"/>
    </row>
    <row r="7">
      <c r="A7" s="37" t="s">
        <v>22</v>
      </c>
      <c r="B7" s="38"/>
      <c r="C7" s="39"/>
      <c r="D7" s="40"/>
      <c r="E7" s="41"/>
      <c r="F7" s="42"/>
    </row>
    <row r="8">
      <c r="A8" s="32" t="s">
        <v>25</v>
      </c>
      <c r="B8" s="43"/>
      <c r="C8" s="34"/>
      <c r="D8" s="35"/>
      <c r="E8" s="33"/>
      <c r="F8" s="36"/>
    </row>
    <row r="9">
      <c r="A9" s="37" t="s">
        <v>28</v>
      </c>
      <c r="B9" s="38"/>
      <c r="C9" s="39"/>
      <c r="D9" s="40"/>
      <c r="E9" s="41"/>
      <c r="F9" s="42"/>
    </row>
    <row r="10">
      <c r="A10" s="32" t="s">
        <v>31</v>
      </c>
      <c r="B10" s="43"/>
      <c r="C10" s="34"/>
      <c r="D10" s="35"/>
      <c r="E10" s="33"/>
      <c r="F10" s="36"/>
    </row>
    <row r="11">
      <c r="A11" s="37" t="s">
        <v>34</v>
      </c>
      <c r="B11" s="38"/>
      <c r="C11" s="39"/>
      <c r="D11" s="40"/>
      <c r="E11" s="41"/>
      <c r="F11" s="42"/>
    </row>
    <row r="12">
      <c r="A12" s="32" t="s">
        <v>37</v>
      </c>
      <c r="B12" s="43"/>
      <c r="C12" s="34"/>
      <c r="D12" s="35"/>
      <c r="E12" s="33"/>
      <c r="F12" s="36"/>
    </row>
    <row r="13">
      <c r="A13" s="37" t="s">
        <v>40</v>
      </c>
      <c r="B13" s="38"/>
      <c r="C13" s="39"/>
      <c r="D13" s="40"/>
      <c r="E13" s="41"/>
      <c r="F13" s="42"/>
    </row>
    <row r="14">
      <c r="A14" s="32" t="s">
        <v>43</v>
      </c>
      <c r="B14" s="43"/>
      <c r="C14" s="34"/>
      <c r="D14" s="35"/>
      <c r="E14" s="33"/>
      <c r="F14" s="36"/>
    </row>
    <row r="15">
      <c r="A15" s="37" t="s">
        <v>46</v>
      </c>
      <c r="B15" s="38"/>
      <c r="C15" s="39"/>
      <c r="D15" s="40"/>
      <c r="E15" s="41"/>
      <c r="F15" s="42"/>
    </row>
    <row r="16">
      <c r="A16" s="32" t="s">
        <v>47</v>
      </c>
      <c r="B16" s="43"/>
      <c r="C16" s="34"/>
      <c r="D16" s="35"/>
      <c r="E16" s="33"/>
      <c r="F16" s="36"/>
    </row>
    <row r="17">
      <c r="A17" s="37" t="s">
        <v>48</v>
      </c>
      <c r="B17" s="38"/>
      <c r="C17" s="39"/>
      <c r="D17" s="40"/>
      <c r="E17" s="41"/>
      <c r="F17" s="42"/>
    </row>
    <row r="18">
      <c r="A18" s="44"/>
      <c r="B18" s="44"/>
      <c r="C18" s="45" t="s">
        <v>49</v>
      </c>
      <c r="D18" s="46" t="str">
        <f>AVERAGE(OAKER_Experience_Overview_10[Score])</f>
        <v>#DIV/0!</v>
      </c>
      <c r="E18" s="44"/>
      <c r="F18" s="44"/>
    </row>
  </sheetData>
  <conditionalFormatting sqref="D1:D18">
    <cfRule type="colorScale" priority="1">
      <colorScale>
        <cfvo type="percent" val="75"/>
        <cfvo type="percent" val="90"/>
        <cfvo type="percent" val="100"/>
        <color rgb="FFEA9999"/>
        <color rgb="FFFFE599"/>
        <color rgb="FFB6D7A8"/>
      </colorScale>
    </cfRule>
  </conditionalFormatting>
  <dataValidations>
    <dataValidation type="custom" allowBlank="1" showDropDown="1" sqref="C2:C17">
      <formula1>OR(NOT(ISERROR(DATEVALUE(C2))), AND(ISNUMBER(C2), LEFT(CELL("format", C2))="D"))</formula1>
    </dataValidation>
    <dataValidation type="custom" allowBlank="1" showDropDown="1" sqref="D2:D17">
      <formula1>AND(ISNUMBER(D2),(NOT(OR(NOT(ISERROR(DATEVALUE(D2))), AND(ISNUMBER(D2), LEFT(CELL("format", D2))="D")))))</formula1>
    </dataValidation>
  </dataValidation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2" width="15.13"/>
    <col customWidth="1" min="3" max="3" width="12.25"/>
    <col customWidth="1" min="4" max="4" width="13.13"/>
    <col customWidth="1" min="5" max="6" width="57.5"/>
  </cols>
  <sheetData>
    <row r="1">
      <c r="A1" s="26" t="s">
        <v>0</v>
      </c>
      <c r="B1" s="27" t="s">
        <v>1</v>
      </c>
      <c r="C1" s="28" t="s">
        <v>2</v>
      </c>
      <c r="D1" s="29" t="s">
        <v>3</v>
      </c>
      <c r="E1" s="30" t="s">
        <v>4</v>
      </c>
      <c r="F1" s="31" t="s">
        <v>5</v>
      </c>
    </row>
    <row r="2">
      <c r="A2" s="32" t="s">
        <v>6</v>
      </c>
      <c r="B2" s="33"/>
      <c r="C2" s="34"/>
      <c r="D2" s="35"/>
      <c r="E2" s="33"/>
      <c r="F2" s="36"/>
    </row>
    <row r="3">
      <c r="A3" s="37" t="s">
        <v>10</v>
      </c>
      <c r="B3" s="38"/>
      <c r="C3" s="39"/>
      <c r="D3" s="40"/>
      <c r="E3" s="41"/>
      <c r="F3" s="42"/>
    </row>
    <row r="4">
      <c r="A4" s="32" t="s">
        <v>13</v>
      </c>
      <c r="B4" s="43"/>
      <c r="C4" s="34"/>
      <c r="D4" s="35"/>
      <c r="E4" s="33"/>
      <c r="F4" s="36"/>
    </row>
    <row r="5">
      <c r="A5" s="37" t="s">
        <v>16</v>
      </c>
      <c r="B5" s="38"/>
      <c r="C5" s="39"/>
      <c r="D5" s="40"/>
      <c r="E5" s="41"/>
      <c r="F5" s="42"/>
    </row>
    <row r="6">
      <c r="A6" s="32" t="s">
        <v>19</v>
      </c>
      <c r="B6" s="43"/>
      <c r="C6" s="34"/>
      <c r="D6" s="35"/>
      <c r="E6" s="33"/>
      <c r="F6" s="36"/>
    </row>
    <row r="7">
      <c r="A7" s="37" t="s">
        <v>22</v>
      </c>
      <c r="B7" s="38"/>
      <c r="C7" s="39"/>
      <c r="D7" s="40"/>
      <c r="E7" s="41"/>
      <c r="F7" s="42"/>
    </row>
    <row r="8">
      <c r="A8" s="32" t="s">
        <v>25</v>
      </c>
      <c r="B8" s="43"/>
      <c r="C8" s="34"/>
      <c r="D8" s="35"/>
      <c r="E8" s="33"/>
      <c r="F8" s="36"/>
    </row>
    <row r="9">
      <c r="A9" s="37" t="s">
        <v>28</v>
      </c>
      <c r="B9" s="38"/>
      <c r="C9" s="39"/>
      <c r="D9" s="40"/>
      <c r="E9" s="41"/>
      <c r="F9" s="42"/>
    </row>
    <row r="10">
      <c r="A10" s="32" t="s">
        <v>31</v>
      </c>
      <c r="B10" s="43"/>
      <c r="C10" s="34"/>
      <c r="D10" s="35"/>
      <c r="E10" s="33"/>
      <c r="F10" s="36"/>
    </row>
    <row r="11">
      <c r="A11" s="37" t="s">
        <v>34</v>
      </c>
      <c r="B11" s="38"/>
      <c r="C11" s="39"/>
      <c r="D11" s="40"/>
      <c r="E11" s="41"/>
      <c r="F11" s="42"/>
    </row>
    <row r="12">
      <c r="A12" s="32" t="s">
        <v>37</v>
      </c>
      <c r="B12" s="43"/>
      <c r="C12" s="34"/>
      <c r="D12" s="35"/>
      <c r="E12" s="33"/>
      <c r="F12" s="36"/>
    </row>
    <row r="13">
      <c r="A13" s="37" t="s">
        <v>40</v>
      </c>
      <c r="B13" s="38"/>
      <c r="C13" s="39"/>
      <c r="D13" s="40"/>
      <c r="E13" s="41"/>
      <c r="F13" s="42"/>
    </row>
    <row r="14">
      <c r="A14" s="32" t="s">
        <v>43</v>
      </c>
      <c r="B14" s="43"/>
      <c r="C14" s="34"/>
      <c r="D14" s="35"/>
      <c r="E14" s="33"/>
      <c r="F14" s="36"/>
    </row>
    <row r="15">
      <c r="A15" s="37" t="s">
        <v>46</v>
      </c>
      <c r="B15" s="38"/>
      <c r="C15" s="39"/>
      <c r="D15" s="40"/>
      <c r="E15" s="41"/>
      <c r="F15" s="42"/>
    </row>
    <row r="16">
      <c r="A16" s="32" t="s">
        <v>47</v>
      </c>
      <c r="B16" s="43"/>
      <c r="C16" s="34"/>
      <c r="D16" s="35"/>
      <c r="E16" s="33"/>
      <c r="F16" s="36"/>
    </row>
    <row r="17">
      <c r="A17" s="37" t="s">
        <v>48</v>
      </c>
      <c r="B17" s="38"/>
      <c r="C17" s="39"/>
      <c r="D17" s="40"/>
      <c r="E17" s="41"/>
      <c r="F17" s="42"/>
    </row>
    <row r="18">
      <c r="A18" s="44"/>
      <c r="B18" s="44"/>
      <c r="C18" s="45" t="s">
        <v>49</v>
      </c>
      <c r="D18" s="46" t="str">
        <f>AVERAGE(OAKER_Experience_Overview_11[Score])</f>
        <v>#DIV/0!</v>
      </c>
      <c r="E18" s="44"/>
      <c r="F18" s="44"/>
    </row>
  </sheetData>
  <conditionalFormatting sqref="D1:D18">
    <cfRule type="colorScale" priority="1">
      <colorScale>
        <cfvo type="percent" val="75"/>
        <cfvo type="percent" val="90"/>
        <cfvo type="percent" val="100"/>
        <color rgb="FFEA9999"/>
        <color rgb="FFFFE599"/>
        <color rgb="FFB6D7A8"/>
      </colorScale>
    </cfRule>
  </conditionalFormatting>
  <dataValidations>
    <dataValidation type="custom" allowBlank="1" showDropDown="1" sqref="C2:C17">
      <formula1>OR(NOT(ISERROR(DATEVALUE(C2))), AND(ISNUMBER(C2), LEFT(CELL("format", C2))="D"))</formula1>
    </dataValidation>
    <dataValidation type="custom" allowBlank="1" showDropDown="1" sqref="D2:D17">
      <formula1>AND(ISNUMBER(D2),(NOT(OR(NOT(ISERROR(DATEVALUE(D2))), AND(ISNUMBER(D2), LEFT(CELL("format", D2))="D")))))</formula1>
    </dataValidation>
  </dataValidations>
  <drawing r:id="rId1"/>
  <tableParts count="1">
    <tablePart r:id="rId3"/>
  </tableParts>
</worksheet>
</file>